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wsl.localhost\Ubuntu\home\inicoli\TRAMPO\OCI\object_storage\raijin-data-migration_s3-to-oci\operational\"/>
    </mc:Choice>
  </mc:AlternateContent>
  <xr:revisionPtr revIDLastSave="0" documentId="13_ncr:1_{F57EAC30-1CBB-45C1-BD95-B9D4FAD76277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Dados da transferência" sheetId="1" r:id="rId1"/>
    <sheet name="Tarifas por região" sheetId="2" r:id="rId2"/>
    <sheet name="Resumo" sheetId="3" r:id="rId3"/>
  </sheets>
  <definedNames>
    <definedName name="_xlnm._FilterDatabase" localSheetId="1" hidden="1">'Tarifas por região'!$A$4:$M$6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B20" i="3"/>
  <c r="F15" i="3"/>
  <c r="D15" i="3"/>
  <c r="B15" i="3"/>
  <c r="D14" i="3"/>
  <c r="D13" i="3"/>
  <c r="D12" i="3"/>
  <c r="D11" i="3"/>
  <c r="D10" i="3"/>
  <c r="B10" i="3"/>
  <c r="D9" i="3"/>
  <c r="B9" i="3"/>
  <c r="F8" i="3"/>
  <c r="D8" i="3"/>
  <c r="F7" i="3"/>
  <c r="D7" i="3"/>
  <c r="B7" i="3"/>
  <c r="D6" i="3"/>
  <c r="D5" i="3"/>
  <c r="B5" i="3"/>
  <c r="B9" i="1"/>
  <c r="B12" i="3" s="1"/>
  <c r="F12" i="3" l="1"/>
  <c r="F5" i="3"/>
  <c r="F9" i="3"/>
  <c r="F10" i="3"/>
  <c r="B13" i="3"/>
  <c r="F13" i="3" s="1"/>
  <c r="B8" i="3"/>
  <c r="B11" i="3"/>
  <c r="F11" i="3" s="1"/>
  <c r="B6" i="3"/>
  <c r="F6" i="3" s="1"/>
  <c r="B14" i="3"/>
  <c r="F14" i="3" s="1"/>
  <c r="F17" i="3" l="1"/>
  <c r="H17" i="3" s="1"/>
  <c r="F18" i="3" l="1"/>
  <c r="H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Raijin</author>
  </authors>
  <commentList>
    <comment ref="B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Volume em GB recuperado por wave quando o tier BULK está selecionado.
Cálculo: tamanho máximo da wave (TB) × 1.000 × percentual em Deep Archive.
Não considera o tempo de transferência; usa o limite planejado para a wave.</t>
        </r>
      </text>
    </comment>
    <comment ref="B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Quantidade de solicitações de restore BULK por wave.
Cálculo: ARREDONDADO_PARA_CIMA((quantidade total de arquivos × percentual em Deep Archive) ÷ quantidade calculada de waves).
Cada objeto arquivado recebe uma solicitação de restore BULK.</t>
        </r>
      </text>
    </comment>
    <comment ref="B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Volume em GB recuperado por wave quando o tier STANDARD está selecionado.
Cálculo: tamanho máximo da wave (TB) × 1.000 × percentual em Deep Archive.
Não considera o tempo de transferência; usa o limite planejado para a wave.</t>
        </r>
      </text>
    </comment>
    <comment ref="B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Quantidade de solicitações de restore STANDARD por wave.
Cálculo: ARREDONDADO_PARA_CIMA((quantidade total de arquivos × percentual em Deep Archive) ÷ quantidade calculada de waves).
Cada objeto arquivado recebe uma solicitação de restore STANDARD.</t>
        </r>
      </text>
    </comment>
    <comment ref="B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Volume médio da cópia temporária restaurada, convertido para GB-mês.
Cálculo: tamanho máximo da wave (TB) × 1.000 × percentual em Deep Archive × dias de retenção ÷ 30.
A AWS cobra a cópia temporária em GB-mês; por isso a retenção em dias é proporcionalizada.</t>
        </r>
      </text>
    </comment>
    <comment ref="B10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Quantidade de jobs do S3 Batch Operations por wave.
Cálculo: 1 se o percentual em Deep Archive for maior que zero; caso contrário, 0.
Uma wave com objetos arquivados gera um job de restore Batch.</t>
        </r>
      </text>
    </comment>
    <comment ref="B1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Quantidade de objetos processados pelo S3 Batch Operations por wave.
Cálculo: ARREDONDAR.PARA.CIMA((quantidade total de arquivos × percentual em Deep Archive) ÷ quantidade calculada de waves; 0).
Cada objeto arquivado listado no manifesto é uma operação Batch.</t>
        </r>
      </text>
    </comment>
    <comment ref="B1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Estimativa de solicitações S3 para discovery e acompanhamento de restore por wave.
Cálculo: (ARREDONDAR.PARA.CIMA(arquivos totais ÷ 1.000; 0) × ciclos esperados de polling) + ARREDONDAR.PARA.CIMA((arquivos totais ÷ waves) ÷ 1.000; 0).
Cada página ListObjectsV2 comporta até 1.000 objetos. É uma estimativa conservadora.</t>
        </r>
      </text>
    </comment>
    <comment ref="B1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Quantidade estimada de leituras GetObject por wave.
Cálculo: ARREDONDAR.PARA.CIMA((quantidade total de arquivos × percentual em Deep Archive) ÷ quantidade calculada de waves; 0).
O modelo considera uma leitura em streaming por objeto arquivado transferido.</t>
        </r>
      </text>
    </comment>
    <comment ref="B1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Quantidade estimada de leituras de tags por wave.
Cálculo: ARREDONDAR.PARA.CIMA((quantidade total de arquivos × percentual em Deep Archive) ÷ quantidade calculada de waves; 0).
A cobrança só é incluída quando a preservação de tags estiver habilitada.</t>
        </r>
      </text>
    </comment>
    <comment ref="B1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Volume de saída da AWS por wave em GB.
Cálculo: tamanho máximo da wave (TB) × 1.000.
Representa todos os dados transferidos na wave; não depende do percentual em Deep Archive.</t>
        </r>
      </text>
    </comment>
  </commentList>
</comments>
</file>

<file path=xl/sharedStrings.xml><?xml version="1.0" encoding="utf-8"?>
<sst xmlns="http://schemas.openxmlformats.org/spreadsheetml/2006/main" count="113" uniqueCount="90">
  <si>
    <t>Preencha somente as células amarelas. Use unidades decimais: 1 TB = 1.000 GB. Os custos são calculados automaticamente na aba Resumo.</t>
  </si>
  <si>
    <t>Informação</t>
  </si>
  <si>
    <t>Valor</t>
  </si>
  <si>
    <t>O que informar e impacto no cálculo</t>
  </si>
  <si>
    <t>Região AWS</t>
  </si>
  <si>
    <t>sa-east-1</t>
  </si>
  <si>
    <t>Informe o código da região do bucket de origem, por exemplo sa-east-1 ou us-east-1. Deve existir uma linha correspondente na aba Tarifas por região.</t>
  </si>
  <si>
    <t>Dados totais a transferir (TB)</t>
  </si>
  <si>
    <t>Informe todo o volume da origem em TB decimais. Exemplo: 600 significa 600.000 GB. É usado no custo total e na quantidade de waves.</t>
  </si>
  <si>
    <t>Quantidade total de arquivos</t>
  </si>
  <si>
    <t>Informe a quantidade de objetos do discovery S3. Ela determina as estimativas de requests, Batch Operations e polling.</t>
  </si>
  <si>
    <t>Tamanho máximo da wave (TB)</t>
  </si>
  <si>
    <t>Informe o limite de dados por wave. A planilha arredonda a quantidade de waves para cima; a última pode ser menor.</t>
  </si>
  <si>
    <t>Quantidade calculada de waves</t>
  </si>
  <si>
    <t>Campo calculado automaticamente a partir dos dados totais e do tamanho máximo da wave. Não editar.</t>
  </si>
  <si>
    <t>Percentual em Deep Archive</t>
  </si>
  <si>
    <t>Informe uma fração entre 0 e 1. Use 1 para 100% dos dados em DEEP_ARCHIVE, 0,5 para 50%. Apenas essa parcela recebe custos de restore.</t>
  </si>
  <si>
    <t>Tier de restore</t>
  </si>
  <si>
    <t>BULK</t>
  </si>
  <si>
    <t>Selecione BULK para menor custo e maior prazo, ou STANDARD para maior velocidade e custo. Aplica-se à parcela Deep Archive.</t>
  </si>
  <si>
    <t>Retenção do restore (dias)</t>
  </si>
  <si>
    <t>Informe por quantos dias a cópia temporária S3 Standard ficará disponível após o restore terminar. Para Deep Archive BULK, 2 a 3 dias é mais seguro.</t>
  </si>
  <si>
    <t>Ciclos esperados de polling por wave</t>
  </si>
  <si>
    <t>Informe quantas verificações de disponibilidade a plataforma deve fazer, em média, até o restore ficar pronto. É uma estimativa conservadora de requests.</t>
  </si>
  <si>
    <t>Transferencia - Vazão efetiva estimada (Mbps)</t>
  </si>
  <si>
    <t>Informe a vazão média efetiva esperada para a cópia, em Mbps. Use uma taxa sustentável medida ou conservadora — não necessariamente a capacidade nominal do link. É usada somente na estimativa de tempo.</t>
  </si>
  <si>
    <t>Dias uteis no mes para execusao da copia</t>
  </si>
  <si>
    <t>A quantidade de dias que serão usados efetivamente para executar a copia dos dados. Usado para o calculo de tempo total gasto na transferencia.</t>
  </si>
  <si>
    <t>Tarifas por região</t>
  </si>
  <si>
    <t>Use somente preços públicos AWS. O script de atualização preenche as colunas públicas suportadas para sa-east-1 e us-east-1.</t>
  </si>
  <si>
    <t>Moeda</t>
  </si>
  <si>
    <t>Outbound AWS Internet
US$/GB</t>
  </si>
  <si>
    <t>Recuperação Deep Archive BULK
US$/GB</t>
  </si>
  <si>
    <t>Recuperação Deep Archive STANDARD
US$/GB</t>
  </si>
  <si>
    <t>Cópia temporária S3 Standard
US$/GB-mês</t>
  </si>
  <si>
    <t>S3 PUT/LIST
US$/1.000</t>
  </si>
  <si>
    <t>S3 GET/TAG
US$/1.000</t>
  </si>
  <si>
    <t>Job Batch
US$/job</t>
  </si>
  <si>
    <t>Objeto Batch
US$/objeto</t>
  </si>
  <si>
    <t>Solicitação de recuperação Deep Archive BULK
US$/1.000</t>
  </si>
  <si>
    <t>Solicitação de recuperação Deep Archive STANDARD
US$/1.000</t>
  </si>
  <si>
    <t>Fonte pública / observações</t>
  </si>
  <si>
    <t>USD</t>
  </si>
  <si>
    <t>Valores públicos AWS coletados em 19/08/2026. Atualize antes de usar.</t>
  </si>
  <si>
    <t>us-east-1</t>
  </si>
  <si>
    <t>Resumo de custo da migração AWS</t>
  </si>
  <si>
    <t>Cotacao do dolar</t>
  </si>
  <si>
    <t>Todos os valores são estimativas com preços públicos AWS. Altere a chave ao lado de outbound para FALSE para excluí-lo dos totais.</t>
  </si>
  <si>
    <t>Métrica</t>
  </si>
  <si>
    <t>Quantidade</t>
  </si>
  <si>
    <t>Unidade</t>
  </si>
  <si>
    <t>Tarifa usada</t>
  </si>
  <si>
    <t>Fonte da tarifa</t>
  </si>
  <si>
    <t>Custo estimado</t>
  </si>
  <si>
    <t>Cálculo / observação</t>
  </si>
  <si>
    <t>Incluir custo?</t>
  </si>
  <si>
    <t>Recuperação Deep Archive BULK</t>
  </si>
  <si>
    <t>AWS pública</t>
  </si>
  <si>
    <t>—</t>
  </si>
  <si>
    <t>Solicitações de recuperação Deep Archive BULK</t>
  </si>
  <si>
    <t>Recuperação Deep Archive STANDARD</t>
  </si>
  <si>
    <t>Solicitações de recuperação Deep Archive STANDARD</t>
  </si>
  <si>
    <t>Cópia temporária restaurada</t>
  </si>
  <si>
    <t>Cópia S3 Standard temporária criada após o restore. O custo é proporcional ao período de retenção informado em dias.</t>
  </si>
  <si>
    <t>S3 Batch Operations</t>
  </si>
  <si>
    <t>Cobrança fixa por job de restore submetido para uma wave.</t>
  </si>
  <si>
    <t>Operações por objeto do S3 Batch</t>
  </si>
  <si>
    <t>Cobrança por objeto incluído e processado no manifesto do job.</t>
  </si>
  <si>
    <t>Discovery e polling de restore</t>
  </si>
  <si>
    <t>Requisições LIST usadas para inventariar objetos e acompanhar restores.</t>
  </si>
  <si>
    <t>Leituras de objetos S3</t>
  </si>
  <si>
    <t>Requisições GET para ler cada objeto durante a transferência.</t>
  </si>
  <si>
    <t>Leituras de tags S3</t>
  </si>
  <si>
    <t>Requisições para obter tags e preservar metadados no destino.</t>
  </si>
  <si>
    <t>Outbound AWS</t>
  </si>
  <si>
    <t>Transferência de dados de saída da AWS para a OCI, cobrada por GiB quando aplicável.</t>
  </si>
  <si>
    <t>Custo único por wave</t>
  </si>
  <si>
    <t>Valor estimado convertido para reais</t>
  </si>
  <si>
    <t>Custo único do projeto</t>
  </si>
  <si>
    <t>Tempo estimado para transferir todos os dados</t>
  </si>
  <si>
    <r>
      <rPr>
        <b/>
        <sz val="11"/>
        <color rgb="FFF8FAFC"/>
        <rFont val="Calibri"/>
        <family val="2"/>
      </rPr>
      <t xml:space="preserve">BULK: </t>
    </r>
    <r>
      <rPr>
        <sz val="11"/>
        <color rgb="FFF8FAFC"/>
        <rFont val="Calibri"/>
        <family val="2"/>
      </rPr>
      <t>Solicitações individuais enviadas ao S3 Batch Operations, 1 por arquivo. Usa o tier de menor custo, com disponibilidade estimada em até 48 horas.</t>
    </r>
  </si>
  <si>
    <r>
      <rPr>
        <b/>
        <sz val="11"/>
        <color rgb="FFF8FAFC"/>
        <rFont val="Calibri"/>
        <family val="2"/>
      </rPr>
      <t xml:space="preserve">BULK: </t>
    </r>
    <r>
      <rPr>
        <sz val="11"/>
        <color rgb="FFF8FAFC"/>
        <rFont val="Calibri"/>
        <family val="2"/>
      </rPr>
      <t>Recuperação de menor custo com disponibilidade em até 48 horas. Indicada para migrações planejadas, com scheduler.</t>
    </r>
  </si>
  <si>
    <r>
      <rPr>
        <b/>
        <sz val="11"/>
        <color rgb="FFF8FAFC"/>
        <rFont val="Calibri"/>
        <family val="2"/>
      </rPr>
      <t>STANDARD</t>
    </r>
    <r>
      <rPr>
        <sz val="11"/>
        <color rgb="FFF8FAFC"/>
        <rFont val="Calibri"/>
        <family val="2"/>
      </rPr>
      <t>: Recuperação rápida com disponibilidade entre 9-12h quando solicitada via S3 Batch Operations. Mais caro que o BULK.</t>
    </r>
  </si>
  <si>
    <r>
      <rPr>
        <b/>
        <sz val="11"/>
        <color rgb="FFF8FAFC"/>
        <rFont val="Calibri"/>
        <family val="2"/>
      </rPr>
      <t>STANDARD</t>
    </r>
    <r>
      <rPr>
        <sz val="11"/>
        <color rgb="FFF8FAFC"/>
        <rFont val="Calibri"/>
        <family val="2"/>
      </rPr>
      <t>: Solicitações individuais enviadas ao S3 Batch Operations, 1 por arquivo. Prioriza disponibilidade entre 9-12 horas, com custo maior que BULK.</t>
    </r>
  </si>
  <si>
    <t>GB</t>
  </si>
  <si>
    <t>GB/mês</t>
  </si>
  <si>
    <t>Solicitações</t>
  </si>
  <si>
    <t>Objetos</t>
  </si>
  <si>
    <t>Jobs</t>
  </si>
  <si>
    <t>Dados da transferência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</si>
</sst>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#,##0;[Red]\-#,##0;0"/>
    <numFmt numFmtId="165" formatCode="\$\ #,##0.000000;[Red]\-\$\ #,##0.000000;\$\ 0.000000"/>
    <numFmt numFmtId="166" formatCode="\$\ #,##0.00;[Red]\-\$\ #,##0.00;\$\ 0.00"/>
    <numFmt numFmtId="167" formatCode="_-[$R$-416]\ * #,##0.00_-;\-[$R$-416]\ * #,##0.00_-;_-[$R$-416]\ * &quot;-&quot;??_-;_-@_-"/>
    <numFmt numFmtId="168" formatCode="_-[$$-409]* #,##0.00_ ;_-[$$-409]* \-#,##0.00\ ;_-[$$-409]* &quot;-&quot;??_ ;_-@_ "/>
    <numFmt numFmtId="169" formatCode="\$\ #,##0.000000"/>
  </numFmts>
  <fonts count="15" x14ac:knownFonts="1">
    <font>
      <sz val="11"/>
      <color theme="1"/>
      <name val="Calibri"/>
      <family val="2"/>
      <scheme val="minor"/>
    </font>
    <font>
      <b/>
      <sz val="18"/>
      <color rgb="FFF8FAFC"/>
      <name val="Calibri"/>
      <family val="2"/>
    </font>
    <font>
      <i/>
      <sz val="10"/>
      <color rgb="FFC5D2E8"/>
      <name val="Calibri"/>
      <family val="2"/>
    </font>
    <font>
      <b/>
      <sz val="11"/>
      <color rgb="FFF8FAFC"/>
      <name val="Calibri"/>
      <family val="2"/>
    </font>
    <font>
      <sz val="11"/>
      <color rgb="FFF8FAFC"/>
      <name val="Calibri"/>
      <family val="2"/>
    </font>
    <font>
      <sz val="11"/>
      <color rgb="FF111827"/>
      <name val="Calibri"/>
      <family val="2"/>
    </font>
    <font>
      <b/>
      <sz val="14"/>
      <color rgb="FFF8FAFC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8FAFC"/>
      <name val="Calibri"/>
      <family val="2"/>
    </font>
    <font>
      <b/>
      <sz val="11"/>
      <color rgb="FFF8FAFC"/>
      <name val="Calibri"/>
      <family val="2"/>
    </font>
    <font>
      <b/>
      <sz val="16"/>
      <color rgb="FF111827"/>
      <name val="Calibri"/>
      <family val="2"/>
    </font>
    <font>
      <b/>
      <sz val="16"/>
      <color rgb="FFF8FAFC"/>
      <name val="Calibri"/>
      <family val="2"/>
    </font>
    <font>
      <b/>
      <sz val="12"/>
      <color rgb="FFF8FAFC"/>
      <name val="Calibri"/>
      <family val="2"/>
    </font>
    <font>
      <b/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01A2D"/>
      </patternFill>
    </fill>
    <fill>
      <patternFill patternType="solid">
        <fgColor rgb="FF19263E"/>
      </patternFill>
    </fill>
    <fill>
      <patternFill patternType="solid">
        <fgColor rgb="FF3B82F6"/>
      </patternFill>
    </fill>
    <fill>
      <patternFill patternType="solid">
        <fgColor rgb="FFFFF2CC"/>
      </patternFill>
    </fill>
    <fill>
      <patternFill patternType="solid">
        <fgColor rgb="FF0F5132"/>
      </patternFill>
    </fill>
    <fill>
      <patternFill patternType="solid">
        <fgColor rgb="FF166534"/>
      </patternFill>
    </fill>
  </fills>
  <borders count="8">
    <border>
      <left/>
      <right/>
      <top/>
      <bottom/>
      <diagonal/>
    </border>
    <border>
      <left style="thin">
        <color rgb="FF4B5E7A"/>
      </left>
      <right style="thin">
        <color rgb="FF4B5E7A"/>
      </right>
      <top style="thin">
        <color rgb="FF4B5E7A"/>
      </top>
      <bottom style="thin">
        <color rgb="FF4B5E7A"/>
      </bottom>
      <diagonal/>
    </border>
    <border>
      <left/>
      <right style="thin">
        <color rgb="FF4B5E7A"/>
      </right>
      <top style="thin">
        <color rgb="FF4B5E7A"/>
      </top>
      <bottom style="thin">
        <color rgb="FF4B5E7A"/>
      </bottom>
      <diagonal/>
    </border>
    <border>
      <left/>
      <right/>
      <top style="thin">
        <color rgb="FF4B5E7A"/>
      </top>
      <bottom style="thin">
        <color rgb="FF4B5E7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B5E7A"/>
      </left>
      <right style="thin">
        <color rgb="FF4B5E7A"/>
      </right>
      <top style="thin">
        <color rgb="FF4B5E7A"/>
      </top>
      <bottom/>
      <diagonal/>
    </border>
    <border>
      <left style="thin">
        <color rgb="FF4B5E7A"/>
      </left>
      <right/>
      <top style="thin">
        <color rgb="FF4B5E7A"/>
      </top>
      <bottom style="thin">
        <color rgb="FF4B5E7A"/>
      </bottom>
      <diagonal/>
    </border>
    <border>
      <left style="thin">
        <color rgb="FF4B5E7A"/>
      </left>
      <right style="thin">
        <color rgb="FF4B5E7A"/>
      </right>
      <top/>
      <bottom style="thin">
        <color rgb="FF4B5E7A"/>
      </bottom>
      <diagonal/>
    </border>
  </borders>
  <cellStyleXfs count="2">
    <xf numFmtId="0" fontId="0" fillId="0" borderId="0"/>
    <xf numFmtId="44" fontId="7" fillId="0" borderId="0"/>
  </cellStyleXfs>
  <cellXfs count="55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5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8" fontId="0" fillId="0" borderId="0" xfId="0" applyNumberFormat="1"/>
    <xf numFmtId="168" fontId="7" fillId="0" borderId="0" xfId="1" applyNumberFormat="1"/>
    <xf numFmtId="0" fontId="4" fillId="3" borderId="1" xfId="0" applyFont="1" applyFill="1" applyBorder="1" applyAlignment="1">
      <alignment horizontal="center" vertical="center" wrapText="1"/>
    </xf>
    <xf numFmtId="0" fontId="7" fillId="0" borderId="0" xfId="0" applyFont="1"/>
    <xf numFmtId="169" fontId="5" fillId="5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3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0" fontId="11" fillId="5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9" fontId="11" fillId="5" borderId="1" xfId="0" applyNumberFormat="1" applyFont="1" applyFill="1" applyBorder="1" applyAlignment="1">
      <alignment horizontal="center" vertical="center" wrapText="1"/>
    </xf>
    <xf numFmtId="164" fontId="11" fillId="5" borderId="5" xfId="0" applyNumberFormat="1" applyFont="1" applyFill="1" applyBorder="1" applyAlignment="1">
      <alignment horizontal="center" vertical="center" wrapText="1"/>
    </xf>
    <xf numFmtId="164" fontId="11" fillId="5" borderId="4" xfId="0" applyNumberFormat="1" applyFont="1" applyFill="1" applyBorder="1" applyAlignment="1">
      <alignment horizontal="center" vertical="center" wrapText="1"/>
    </xf>
    <xf numFmtId="44" fontId="10" fillId="3" borderId="0" xfId="1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6" fillId="7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3" borderId="6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3" fillId="2" borderId="0" xfId="0" applyFon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2">
    <dxf>
      <font>
        <b/>
        <color theme="0"/>
      </font>
      <fill>
        <patternFill>
          <fgColor theme="0"/>
          <bgColor rgb="FF00B050"/>
        </patternFill>
      </fill>
    </dxf>
    <dxf>
      <font>
        <b/>
        <color theme="0"/>
      </font>
      <fill>
        <patternFill>
          <fgColor theme="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workbookViewId="0">
      <pane ySplit="4" topLeftCell="A5" activePane="bottomLeft" state="frozen"/>
      <selection pane="bottomLeft" activeCell="G8" sqref="G8"/>
    </sheetView>
  </sheetViews>
  <sheetFormatPr defaultRowHeight="14.4" x14ac:dyDescent="0.3"/>
  <cols>
    <col min="1" max="1" width="46.5546875" style="21" bestFit="1" customWidth="1"/>
    <col min="2" max="2" width="15.6640625" style="21" customWidth="1"/>
    <col min="3" max="3" width="98.44140625" style="21" bestFit="1" customWidth="1"/>
  </cols>
  <sheetData>
    <row r="1" spans="1:3" ht="31.95" customHeight="1" x14ac:dyDescent="0.3">
      <c r="A1" s="38" t="s">
        <v>89</v>
      </c>
      <c r="B1" s="36"/>
      <c r="C1" s="36"/>
    </row>
    <row r="2" spans="1:3" ht="31.95" customHeight="1" x14ac:dyDescent="0.3">
      <c r="A2" s="35" t="s">
        <v>0</v>
      </c>
      <c r="B2" s="36"/>
      <c r="C2" s="36"/>
    </row>
    <row r="4" spans="1:3" ht="25.2" customHeight="1" x14ac:dyDescent="0.3">
      <c r="A4" s="48" t="s">
        <v>1</v>
      </c>
      <c r="B4" s="49" t="s">
        <v>2</v>
      </c>
      <c r="C4" s="49" t="s">
        <v>3</v>
      </c>
    </row>
    <row r="5" spans="1:3" ht="39.6" customHeight="1" x14ac:dyDescent="0.3">
      <c r="A5" s="50" t="s">
        <v>4</v>
      </c>
      <c r="B5" s="27" t="s">
        <v>5</v>
      </c>
      <c r="C5" s="1" t="s">
        <v>6</v>
      </c>
    </row>
    <row r="6" spans="1:3" ht="39.6" customHeight="1" x14ac:dyDescent="0.3">
      <c r="A6" s="50" t="s">
        <v>7</v>
      </c>
      <c r="B6" s="28">
        <v>1500</v>
      </c>
      <c r="C6" s="1" t="s">
        <v>8</v>
      </c>
    </row>
    <row r="7" spans="1:3" ht="39.6" customHeight="1" x14ac:dyDescent="0.3">
      <c r="A7" s="50" t="s">
        <v>9</v>
      </c>
      <c r="B7" s="28">
        <v>9600000</v>
      </c>
      <c r="C7" s="1" t="s">
        <v>10</v>
      </c>
    </row>
    <row r="8" spans="1:3" ht="39.6" customHeight="1" x14ac:dyDescent="0.3">
      <c r="A8" s="50" t="s">
        <v>11</v>
      </c>
      <c r="B8" s="28">
        <v>5</v>
      </c>
      <c r="C8" s="1" t="s">
        <v>12</v>
      </c>
    </row>
    <row r="9" spans="1:3" ht="39.6" customHeight="1" x14ac:dyDescent="0.3">
      <c r="A9" s="50" t="s">
        <v>13</v>
      </c>
      <c r="B9" s="29">
        <f>ROUNDUP(B6/B8,0)</f>
        <v>300</v>
      </c>
      <c r="C9" s="1" t="s">
        <v>14</v>
      </c>
    </row>
    <row r="10" spans="1:3" ht="39.6" customHeight="1" x14ac:dyDescent="0.3">
      <c r="A10" s="50" t="s">
        <v>15</v>
      </c>
      <c r="B10" s="30">
        <v>1</v>
      </c>
      <c r="C10" s="1" t="s">
        <v>16</v>
      </c>
    </row>
    <row r="11" spans="1:3" ht="39.6" customHeight="1" x14ac:dyDescent="0.3">
      <c r="A11" s="50" t="s">
        <v>17</v>
      </c>
      <c r="B11" s="27" t="s">
        <v>18</v>
      </c>
      <c r="C11" s="1" t="s">
        <v>19</v>
      </c>
    </row>
    <row r="12" spans="1:3" ht="39.6" customHeight="1" x14ac:dyDescent="0.3">
      <c r="A12" s="50" t="s">
        <v>20</v>
      </c>
      <c r="B12" s="28">
        <v>3</v>
      </c>
      <c r="C12" s="1" t="s">
        <v>21</v>
      </c>
    </row>
    <row r="13" spans="1:3" ht="39.6" customHeight="1" x14ac:dyDescent="0.3">
      <c r="A13" s="50" t="s">
        <v>22</v>
      </c>
      <c r="B13" s="28">
        <v>48</v>
      </c>
      <c r="C13" s="1" t="s">
        <v>23</v>
      </c>
    </row>
    <row r="14" spans="1:3" ht="39.6" customHeight="1" x14ac:dyDescent="0.3">
      <c r="A14" s="50" t="s">
        <v>24</v>
      </c>
      <c r="B14" s="31">
        <v>1200</v>
      </c>
      <c r="C14" s="1" t="s">
        <v>25</v>
      </c>
    </row>
    <row r="15" spans="1:3" ht="39.6" customHeight="1" x14ac:dyDescent="0.3">
      <c r="A15" s="51" t="s">
        <v>26</v>
      </c>
      <c r="B15" s="32">
        <v>21</v>
      </c>
      <c r="C15" s="8" t="s">
        <v>27</v>
      </c>
    </row>
    <row r="16" spans="1:3" x14ac:dyDescent="0.3">
      <c r="A16" s="25"/>
    </row>
  </sheetData>
  <mergeCells count="2">
    <mergeCell ref="A1:C1"/>
    <mergeCell ref="A2:C2"/>
  </mergeCells>
  <conditionalFormatting sqref="B10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sqref="B11" xr:uid="{00000000-0002-0000-0000-000000000000}">
      <formula1>"BULK,STANDARD"</formula1>
    </dataValidation>
  </dataValidations>
  <pageMargins left="0.75" right="0.75" top="1" bottom="1" header="0.5" footer="0.5"/>
  <pageSetup orientation="portrait" r:id="rId1"/>
  <headerFooter>
    <oddHeader>&amp;L&amp;"Calibri"&amp;10&amp;K000000 Confidential - Oracle Restricted \Employees Only&amp;1#_x000D_&amp;"Calibri"&amp;11&amp;K000000&amp;"Calibri"&amp;11&amp;K000000&amp;"Calibri"&amp;11&amp;K000000&amp;"Calibri"&amp;11&amp;K000000&amp;"Calibri"&amp;1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20"/>
  <sheetViews>
    <sheetView showGridLines="0" workbookViewId="0">
      <pane ySplit="4" topLeftCell="A5" activePane="bottomLeft" state="frozen"/>
      <selection pane="bottomLeft" activeCell="D5" sqref="D5"/>
    </sheetView>
  </sheetViews>
  <sheetFormatPr defaultRowHeight="14.4" x14ac:dyDescent="0.3"/>
  <cols>
    <col min="1" max="1" width="11.44140625" style="22" customWidth="1"/>
    <col min="2" max="2" width="7.88671875" style="22" customWidth="1"/>
    <col min="3" max="3" width="15.5546875" style="22" customWidth="1"/>
    <col min="4" max="4" width="18.33203125" style="22" customWidth="1"/>
    <col min="5" max="5" width="25.44140625" style="22" customWidth="1"/>
    <col min="6" max="6" width="20.6640625" style="22" bestFit="1" customWidth="1"/>
    <col min="7" max="7" width="13.44140625" style="22" bestFit="1" customWidth="1"/>
    <col min="8" max="8" width="13.33203125" style="22" bestFit="1" customWidth="1"/>
    <col min="9" max="9" width="11.33203125" style="22" bestFit="1" customWidth="1"/>
    <col min="10" max="10" width="14.33203125" style="22" bestFit="1" customWidth="1"/>
    <col min="11" max="11" width="24.77734375" style="23" customWidth="1"/>
    <col min="12" max="12" width="24.77734375" style="22" customWidth="1"/>
    <col min="13" max="13" width="35.21875" style="22" customWidth="1"/>
    <col min="14" max="16383" width="14.33203125" style="22" customWidth="1"/>
  </cols>
  <sheetData>
    <row r="1" spans="1:13" ht="31.95" customHeight="1" x14ac:dyDescent="0.3">
      <c r="A1" s="38" t="s">
        <v>28</v>
      </c>
      <c r="B1" s="36"/>
      <c r="C1" s="36"/>
      <c r="D1" s="36"/>
      <c r="E1" s="36"/>
      <c r="F1" s="36"/>
      <c r="G1" s="36"/>
      <c r="H1" s="36"/>
      <c r="I1" s="36"/>
      <c r="J1" s="36"/>
      <c r="K1" s="37"/>
      <c r="L1" s="36"/>
      <c r="M1" s="36"/>
    </row>
    <row r="2" spans="1:13" ht="31.95" customHeight="1" x14ac:dyDescent="0.3">
      <c r="A2" s="35" t="s">
        <v>29</v>
      </c>
      <c r="B2" s="36"/>
      <c r="C2" s="36"/>
      <c r="D2" s="36"/>
      <c r="E2" s="36"/>
      <c r="F2" s="36"/>
      <c r="G2" s="36"/>
      <c r="H2" s="36"/>
      <c r="I2" s="36"/>
      <c r="J2" s="36"/>
      <c r="K2" s="37"/>
      <c r="L2" s="36"/>
      <c r="M2" s="36"/>
    </row>
    <row r="3" spans="1:13" x14ac:dyDescent="0.3">
      <c r="K3" s="17"/>
      <c r="L3" s="17"/>
    </row>
    <row r="4" spans="1:13" ht="43.2" customHeight="1" x14ac:dyDescent="0.3">
      <c r="A4" s="5" t="s">
        <v>4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</row>
    <row r="5" spans="1:13" ht="35.4" customHeight="1" x14ac:dyDescent="0.3">
      <c r="A5" s="3" t="s">
        <v>5</v>
      </c>
      <c r="B5" s="3" t="s">
        <v>42</v>
      </c>
      <c r="C5" s="12">
        <v>0.15</v>
      </c>
      <c r="D5" s="12">
        <v>8.0000000000000002E-3</v>
      </c>
      <c r="E5" s="12">
        <v>2.8000000000000001E-2</v>
      </c>
      <c r="F5" s="12">
        <v>4.0500000000000001E-2</v>
      </c>
      <c r="G5" s="12">
        <v>7.0000000000000001E-3</v>
      </c>
      <c r="H5" s="12">
        <v>5.5999999999999995E-4</v>
      </c>
      <c r="I5" s="12">
        <v>0.25</v>
      </c>
      <c r="J5" s="12">
        <v>1.5E-5</v>
      </c>
      <c r="K5" s="18">
        <v>3.5000000000000003E-2</v>
      </c>
      <c r="L5" s="18">
        <v>0.14000000000000001</v>
      </c>
      <c r="M5" s="52" t="s">
        <v>43</v>
      </c>
    </row>
    <row r="6" spans="1:13" ht="35.4" customHeight="1" x14ac:dyDescent="0.3">
      <c r="A6" s="3" t="s">
        <v>44</v>
      </c>
      <c r="B6" s="3" t="s">
        <v>42</v>
      </c>
      <c r="C6" s="12">
        <v>0.09</v>
      </c>
      <c r="D6" s="12">
        <v>2.5000000000000001E-3</v>
      </c>
      <c r="E6" s="12">
        <v>0.02</v>
      </c>
      <c r="F6" s="12">
        <v>1.2500000000000001E-2</v>
      </c>
      <c r="G6" s="12">
        <v>5.5E-2</v>
      </c>
      <c r="H6" s="12">
        <v>4.0000000000000002E-4</v>
      </c>
      <c r="I6" s="12">
        <v>0.25</v>
      </c>
      <c r="J6" s="12">
        <v>1E-3</v>
      </c>
      <c r="K6" s="18">
        <v>2.5000000000000001E-2</v>
      </c>
      <c r="L6" s="18">
        <v>0.05</v>
      </c>
      <c r="M6" s="52" t="s">
        <v>43</v>
      </c>
    </row>
    <row r="7" spans="1:13" ht="27" customHeight="1" x14ac:dyDescent="0.3">
      <c r="A7" s="3"/>
      <c r="B7" s="3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3" ht="27" customHeight="1" x14ac:dyDescent="0.3">
      <c r="A8" s="3"/>
      <c r="B8" s="3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</row>
    <row r="9" spans="1:13" ht="27" customHeight="1" x14ac:dyDescent="0.3">
      <c r="A9" s="3"/>
      <c r="B9" s="3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spans="1:13" ht="27" customHeight="1" x14ac:dyDescent="0.3">
      <c r="A10" s="3"/>
      <c r="B10" s="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</row>
    <row r="11" spans="1:13" ht="27" customHeight="1" x14ac:dyDescent="0.3">
      <c r="A11" s="3"/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</row>
    <row r="12" spans="1:13" ht="27" customHeight="1" x14ac:dyDescent="0.3">
      <c r="A12" s="3"/>
      <c r="B12" s="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</row>
    <row r="13" spans="1:13" ht="27" customHeight="1" x14ac:dyDescent="0.3">
      <c r="A13" s="3"/>
      <c r="B13" s="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4" spans="1:13" ht="27" customHeight="1" x14ac:dyDescent="0.3">
      <c r="A14" s="3"/>
      <c r="B14" s="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1:13" ht="27" customHeight="1" x14ac:dyDescent="0.3">
      <c r="A15" s="3"/>
      <c r="B15" s="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  <row r="16" spans="1:13" ht="27" customHeight="1" x14ac:dyDescent="0.3">
      <c r="A16" s="3"/>
      <c r="B16" s="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</row>
    <row r="17" spans="1:13" ht="27" customHeight="1" x14ac:dyDescent="0.3">
      <c r="A17" s="3"/>
      <c r="B17" s="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spans="1:13" ht="27" customHeight="1" x14ac:dyDescent="0.3">
      <c r="A18" s="3"/>
      <c r="B18" s="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</row>
    <row r="19" spans="1:13" ht="27" customHeight="1" x14ac:dyDescent="0.3">
      <c r="A19" s="3"/>
      <c r="B19" s="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spans="1:13" ht="27" customHeight="1" x14ac:dyDescent="0.3">
      <c r="A20" s="3"/>
      <c r="B20" s="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</row>
  </sheetData>
  <autoFilter ref="A4:M6" xr:uid="{00000000-0009-0000-0000-000001000000}"/>
  <mergeCells count="2">
    <mergeCell ref="A2:M2"/>
    <mergeCell ref="A1:M1"/>
  </mergeCells>
  <pageMargins left="0.75" right="0.75" top="1" bottom="1" header="0.5" footer="0.5"/>
  <pageSetup orientation="portrait"/>
  <headerFooter>
    <oddHeader>&amp;L&amp;"Calibri"&amp;10&amp;K000000 Confidential - Oracle Restricted \Employees Only&amp;1#_x000D_&amp;"Calibri"&amp;11&amp;K000000&amp;"Calibri"&amp;11&amp;K000000&amp;"Calibri"&amp;11&amp;K000000&amp;"Calibri"&amp;11&amp;K000000&amp;"Calibri"&amp;1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Only_x000D_&amp;1#&amp;"Calibri"&amp;10&amp;K000000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showGridLines="0" zoomScale="110" zoomScaleNormal="110" workbookViewId="0">
      <pane ySplit="4" topLeftCell="A5" activePane="bottomLeft" state="frozen"/>
      <selection pane="bottomLeft" activeCell="H2" sqref="H2"/>
    </sheetView>
  </sheetViews>
  <sheetFormatPr defaultRowHeight="14.4" x14ac:dyDescent="0.3"/>
  <cols>
    <col min="1" max="1" width="32.44140625" style="21" customWidth="1"/>
    <col min="2" max="2" width="11.109375" style="21" bestFit="1" customWidth="1"/>
    <col min="3" max="3" width="11.21875" style="21" customWidth="1"/>
    <col min="4" max="4" width="11.33203125" style="21" bestFit="1" customWidth="1"/>
    <col min="5" max="5" width="13.77734375" style="21" bestFit="1" customWidth="1"/>
    <col min="6" max="6" width="14.44140625" style="21" bestFit="1" customWidth="1"/>
    <col min="7" max="7" width="65.109375" style="21" customWidth="1"/>
    <col min="8" max="8" width="13.6640625" style="22" customWidth="1"/>
    <col min="9" max="9" width="12.88671875" style="21" bestFit="1" customWidth="1"/>
    <col min="11" max="11" width="11.88671875" bestFit="1" customWidth="1"/>
  </cols>
  <sheetData>
    <row r="1" spans="1:14" ht="31.95" customHeight="1" x14ac:dyDescent="0.3">
      <c r="A1" s="38" t="s">
        <v>45</v>
      </c>
      <c r="B1" s="34"/>
      <c r="C1" s="34"/>
      <c r="D1" s="34"/>
      <c r="E1" s="34"/>
      <c r="F1" s="34"/>
      <c r="G1" s="34"/>
      <c r="H1" s="54" t="s">
        <v>46</v>
      </c>
      <c r="I1" s="53"/>
      <c r="J1" s="53"/>
      <c r="K1" s="53"/>
      <c r="L1" s="53"/>
      <c r="M1" s="53"/>
      <c r="N1" s="53"/>
    </row>
    <row r="2" spans="1:14" ht="31.95" customHeight="1" x14ac:dyDescent="0.3">
      <c r="A2" s="35" t="s">
        <v>47</v>
      </c>
      <c r="B2" s="34"/>
      <c r="C2" s="34"/>
      <c r="D2" s="34"/>
      <c r="E2" s="34"/>
      <c r="F2" s="34"/>
      <c r="G2" s="34"/>
      <c r="H2" s="33">
        <v>5.16</v>
      </c>
    </row>
    <row r="4" spans="1:14" x14ac:dyDescent="0.3">
      <c r="A4" s="5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</row>
    <row r="5" spans="1:14" ht="37.200000000000003" customHeight="1" x14ac:dyDescent="0.3">
      <c r="A5" s="20" t="s">
        <v>56</v>
      </c>
      <c r="B5" s="4">
        <f>'Dados da transferência'!B8*1000*'Dados da transferência'!B10</f>
        <v>5000</v>
      </c>
      <c r="C5" s="16" t="s">
        <v>84</v>
      </c>
      <c r="D5" s="6">
        <f>VLOOKUP('Dados da transferência'!B5,'Tarifas por região'!A:M,4,FALSE)</f>
        <v>8.0000000000000002E-3</v>
      </c>
      <c r="E5" s="16" t="s">
        <v>57</v>
      </c>
      <c r="F5" s="7">
        <f>IF('Dados da transferência'!B11="BULK",IFERROR(B5*D5,"Não precificado"),0)</f>
        <v>40</v>
      </c>
      <c r="G5" s="1" t="s">
        <v>81</v>
      </c>
      <c r="H5" s="16" t="s">
        <v>58</v>
      </c>
    </row>
    <row r="6" spans="1:14" ht="37.200000000000003" customHeight="1" x14ac:dyDescent="0.3">
      <c r="A6" s="20" t="s">
        <v>59</v>
      </c>
      <c r="B6" s="4">
        <f>ROUNDUP('Dados da transferência'!B7*'Dados da transferência'!B10/'Dados da transferência'!B9,0)</f>
        <v>32000</v>
      </c>
      <c r="C6" s="16" t="s">
        <v>86</v>
      </c>
      <c r="D6" s="6">
        <f>VLOOKUP('Dados da transferência'!B5,'Tarifas por região'!A:M,11,FALSE)/1000</f>
        <v>3.5000000000000004E-5</v>
      </c>
      <c r="E6" s="16" t="s">
        <v>57</v>
      </c>
      <c r="F6" s="7">
        <f>IF('Dados da transferência'!B11="BULK",IFERROR(B6*D6,"Não precificado"),0)</f>
        <v>1.1200000000000001</v>
      </c>
      <c r="G6" s="1" t="s">
        <v>80</v>
      </c>
      <c r="H6" s="16" t="s">
        <v>58</v>
      </c>
      <c r="K6" s="26"/>
    </row>
    <row r="7" spans="1:14" ht="37.200000000000003" customHeight="1" x14ac:dyDescent="0.3">
      <c r="A7" s="2" t="s">
        <v>60</v>
      </c>
      <c r="B7" s="4">
        <f>'Dados da transferência'!B8*1000*'Dados da transferência'!B10</f>
        <v>5000</v>
      </c>
      <c r="C7" s="16" t="s">
        <v>84</v>
      </c>
      <c r="D7" s="6">
        <f>VLOOKUP('Dados da transferência'!B5,'Tarifas por região'!A:M,5,FALSE)</f>
        <v>2.8000000000000001E-2</v>
      </c>
      <c r="E7" s="16" t="s">
        <v>57</v>
      </c>
      <c r="F7" s="7">
        <f>IF('Dados da transferência'!B11="STANDARD",IFERROR(B7*D7,"Não precificado"),0)</f>
        <v>0</v>
      </c>
      <c r="G7" s="1" t="s">
        <v>82</v>
      </c>
      <c r="H7" s="16" t="s">
        <v>58</v>
      </c>
    </row>
    <row r="8" spans="1:14" ht="37.200000000000003" customHeight="1" x14ac:dyDescent="0.3">
      <c r="A8" s="20" t="s">
        <v>61</v>
      </c>
      <c r="B8" s="4">
        <f>ROUNDUP('Dados da transferência'!B7*'Dados da transferência'!B10/'Dados da transferência'!B9,0)</f>
        <v>32000</v>
      </c>
      <c r="C8" s="16" t="s">
        <v>86</v>
      </c>
      <c r="D8" s="6">
        <f>VLOOKUP('Dados da transferência'!B5,'Tarifas por região'!A:M,12,FALSE)/1000</f>
        <v>1.4000000000000001E-4</v>
      </c>
      <c r="E8" s="16" t="s">
        <v>57</v>
      </c>
      <c r="F8" s="7">
        <f>IF('Dados da transferência'!B11="STANDARD",IFERROR(B8*D8,"Não precificado"),0)</f>
        <v>0</v>
      </c>
      <c r="G8" s="1" t="s">
        <v>83</v>
      </c>
      <c r="H8" s="16" t="s">
        <v>58</v>
      </c>
    </row>
    <row r="9" spans="1:14" ht="37.200000000000003" customHeight="1" x14ac:dyDescent="0.3">
      <c r="A9" s="20" t="s">
        <v>62</v>
      </c>
      <c r="B9" s="4">
        <f>'Dados da transferência'!B8*1000*'Dados da transferência'!B10*'Dados da transferência'!B12/30</f>
        <v>500</v>
      </c>
      <c r="C9" s="16" t="s">
        <v>85</v>
      </c>
      <c r="D9" s="6">
        <f>VLOOKUP('Dados da transferência'!B5,'Tarifas por região'!A:M,6,FALSE)</f>
        <v>4.0500000000000001E-2</v>
      </c>
      <c r="E9" s="16" t="s">
        <v>57</v>
      </c>
      <c r="F9" s="7">
        <f t="shared" ref="F9:F15" si="0">IF(H9,IFERROR(B9*D9,"Não precificado"),"-")</f>
        <v>20.25</v>
      </c>
      <c r="G9" s="1" t="s">
        <v>63</v>
      </c>
      <c r="H9" s="3" t="b">
        <v>1</v>
      </c>
    </row>
    <row r="10" spans="1:14" ht="37.200000000000003" customHeight="1" x14ac:dyDescent="0.3">
      <c r="A10" s="20" t="s">
        <v>64</v>
      </c>
      <c r="B10" s="4">
        <f>IF('Dados da transferência'!B10&gt;0,1,0)</f>
        <v>1</v>
      </c>
      <c r="C10" s="16" t="s">
        <v>88</v>
      </c>
      <c r="D10" s="6">
        <f>VLOOKUP('Dados da transferência'!B5,'Tarifas por região'!A:M,9,FALSE)</f>
        <v>0.25</v>
      </c>
      <c r="E10" s="16" t="s">
        <v>57</v>
      </c>
      <c r="F10" s="7">
        <f t="shared" si="0"/>
        <v>0.25</v>
      </c>
      <c r="G10" s="19" t="s">
        <v>65</v>
      </c>
      <c r="H10" s="3" t="b">
        <v>1</v>
      </c>
    </row>
    <row r="11" spans="1:14" ht="37.200000000000003" customHeight="1" x14ac:dyDescent="0.3">
      <c r="A11" s="20" t="s">
        <v>66</v>
      </c>
      <c r="B11" s="4">
        <f>ROUNDUP('Dados da transferência'!B7*'Dados da transferência'!B10/'Dados da transferência'!B9,0)</f>
        <v>32000</v>
      </c>
      <c r="C11" s="16" t="s">
        <v>87</v>
      </c>
      <c r="D11" s="6">
        <f>VLOOKUP('Dados da transferência'!B5,'Tarifas por região'!A:M,10,FALSE)</f>
        <v>1.5E-5</v>
      </c>
      <c r="E11" s="16" t="s">
        <v>57</v>
      </c>
      <c r="F11" s="7">
        <f t="shared" si="0"/>
        <v>0.48000000000000004</v>
      </c>
      <c r="G11" s="19" t="s">
        <v>67</v>
      </c>
      <c r="H11" s="3" t="b">
        <v>1</v>
      </c>
    </row>
    <row r="12" spans="1:14" ht="37.200000000000003" customHeight="1" x14ac:dyDescent="0.3">
      <c r="A12" s="20" t="s">
        <v>68</v>
      </c>
      <c r="B12" s="4">
        <f>(ROUNDUP('Dados da transferência'!B7/1000,0)*'Dados da transferência'!B13)+ROUNDUP('Dados da transferência'!B7/'Dados da transferência'!B9/1000,0)</f>
        <v>460832</v>
      </c>
      <c r="C12" s="16" t="s">
        <v>86</v>
      </c>
      <c r="D12" s="6">
        <f>VLOOKUP('Dados da transferência'!B5,'Tarifas por região'!A:M,7,FALSE)/1000</f>
        <v>6.9999999999999999E-6</v>
      </c>
      <c r="E12" s="16" t="s">
        <v>57</v>
      </c>
      <c r="F12" s="7">
        <f t="shared" si="0"/>
        <v>3.2258239999999998</v>
      </c>
      <c r="G12" s="19" t="s">
        <v>69</v>
      </c>
      <c r="H12" s="3" t="b">
        <v>1</v>
      </c>
    </row>
    <row r="13" spans="1:14" ht="37.200000000000003" customHeight="1" x14ac:dyDescent="0.3">
      <c r="A13" s="20" t="s">
        <v>70</v>
      </c>
      <c r="B13" s="4">
        <f>ROUNDUP('Dados da transferência'!B7*'Dados da transferência'!B10/'Dados da transferência'!B9,0)</f>
        <v>32000</v>
      </c>
      <c r="C13" s="16" t="s">
        <v>86</v>
      </c>
      <c r="D13" s="6">
        <f>VLOOKUP('Dados da transferência'!B5,'Tarifas por região'!A:M,8,FALSE)/1000</f>
        <v>5.5999999999999993E-7</v>
      </c>
      <c r="E13" s="16" t="s">
        <v>57</v>
      </c>
      <c r="F13" s="7">
        <f t="shared" si="0"/>
        <v>1.7919999999999998E-2</v>
      </c>
      <c r="G13" s="19" t="s">
        <v>71</v>
      </c>
      <c r="H13" s="3" t="b">
        <v>1</v>
      </c>
    </row>
    <row r="14" spans="1:14" ht="37.200000000000003" customHeight="1" x14ac:dyDescent="0.3">
      <c r="A14" s="20" t="s">
        <v>72</v>
      </c>
      <c r="B14" s="4">
        <f>ROUNDUP('Dados da transferência'!B7*'Dados da transferência'!B10/'Dados da transferência'!B9,0)</f>
        <v>32000</v>
      </c>
      <c r="C14" s="16" t="s">
        <v>86</v>
      </c>
      <c r="D14" s="6">
        <f>VLOOKUP('Dados da transferência'!B5,'Tarifas por região'!A:M,8,FALSE)/1000</f>
        <v>5.5999999999999993E-7</v>
      </c>
      <c r="E14" s="16" t="s">
        <v>57</v>
      </c>
      <c r="F14" s="7">
        <f t="shared" si="0"/>
        <v>1.7919999999999998E-2</v>
      </c>
      <c r="G14" s="19" t="s">
        <v>73</v>
      </c>
      <c r="H14" s="3" t="b">
        <v>1</v>
      </c>
    </row>
    <row r="15" spans="1:14" ht="37.200000000000003" customHeight="1" x14ac:dyDescent="0.3">
      <c r="A15" s="20" t="s">
        <v>74</v>
      </c>
      <c r="B15" s="4">
        <f>'Dados da transferência'!B8*1000</f>
        <v>5000</v>
      </c>
      <c r="C15" s="16" t="s">
        <v>84</v>
      </c>
      <c r="D15" s="6">
        <f>VLOOKUP('Dados da transferência'!B5,'Tarifas por região'!A:M,3,FALSE)</f>
        <v>0.15</v>
      </c>
      <c r="E15" s="16" t="s">
        <v>57</v>
      </c>
      <c r="F15" s="7" t="str">
        <f t="shared" si="0"/>
        <v>-</v>
      </c>
      <c r="G15" s="19" t="s">
        <v>75</v>
      </c>
      <c r="H15" s="3" t="b">
        <v>0</v>
      </c>
    </row>
    <row r="16" spans="1:14" ht="17.399999999999999" customHeight="1" x14ac:dyDescent="0.3"/>
    <row r="17" spans="1:9" ht="22.2" customHeight="1" x14ac:dyDescent="0.3">
      <c r="A17" s="43" t="s">
        <v>76</v>
      </c>
      <c r="B17" s="44"/>
      <c r="C17" s="44"/>
      <c r="D17" s="44"/>
      <c r="E17" s="45"/>
      <c r="F17" s="9">
        <f>SUM(F5:F15)</f>
        <v>65.361664000000005</v>
      </c>
      <c r="G17" s="46" t="s">
        <v>77</v>
      </c>
      <c r="H17" s="10">
        <f>F17*$H$2</f>
        <v>337.26618624000002</v>
      </c>
    </row>
    <row r="18" spans="1:9" ht="22.2" customHeight="1" x14ac:dyDescent="0.3">
      <c r="A18" s="43" t="s">
        <v>78</v>
      </c>
      <c r="B18" s="44"/>
      <c r="C18" s="44"/>
      <c r="D18" s="44"/>
      <c r="E18" s="45"/>
      <c r="F18" s="9">
        <f>F17*'Dados da transferência'!B9</f>
        <v>19608.499200000002</v>
      </c>
      <c r="G18" s="47"/>
      <c r="H18" s="10">
        <f>F18*$H$2</f>
        <v>101179.85587200001</v>
      </c>
      <c r="I18" s="11"/>
    </row>
    <row r="19" spans="1:9" x14ac:dyDescent="0.3">
      <c r="E19" s="14"/>
      <c r="F19" s="15"/>
    </row>
    <row r="20" spans="1:9" ht="28.8" customHeight="1" x14ac:dyDescent="0.3">
      <c r="A20" s="2" t="s">
        <v>79</v>
      </c>
      <c r="B20" s="41" t="str">
        <f>IF(OR('Dados da transferência'!B14&lt;=0,'Dados da transferência'!B15&lt;=0),"Informe vazão e dias úteis válidos",INT(ROUND('Dados da transferência'!B6*8000000/'Dados da transferência'!B14/3600,0)/(24*'Dados da transferência'!B15))&amp;" meses, "&amp;INT(MOD(ROUND('Dados da transferência'!B6*8000000/'Dados da transferência'!B14/3600,0),24*'Dados da transferência'!B15)/24)&amp;" dias e "&amp;MOD(ROUND('Dados da transferência'!B6*8000000/'Dados da transferência'!B14/3600,0),24)&amp;" horas")</f>
        <v>5 meses, 10 dias e 18 horas</v>
      </c>
      <c r="C20" s="42"/>
      <c r="D20" s="40"/>
      <c r="E20" s="1"/>
      <c r="F20" s="24"/>
      <c r="G20" s="39" t="str">
        <f>CONCATENATE("Baseado no volume total e na vazão efetiva configurada. 
Mês operacional = ",'Dados da transferência'!$B$15," dias. Não inclui restore, filas, pausas, retries ou validações.")</f>
        <v>Baseado no volume total e na vazão efetiva configurada. 
Mês operacional = 21 dias. Não inclui restore, filas, pausas, retries ou validações.</v>
      </c>
      <c r="H20" s="40"/>
    </row>
  </sheetData>
  <mergeCells count="7">
    <mergeCell ref="A2:G2"/>
    <mergeCell ref="G20:H20"/>
    <mergeCell ref="A1:G1"/>
    <mergeCell ref="B20:D20"/>
    <mergeCell ref="A17:E17"/>
    <mergeCell ref="A18:E18"/>
    <mergeCell ref="G17:G18"/>
  </mergeCells>
  <conditionalFormatting sqref="H5:H15">
    <cfRule type="cellIs" dxfId="1" priority="1" operator="equal">
      <formula>FALSE</formula>
    </cfRule>
    <cfRule type="cellIs" dxfId="0" priority="2" operator="equal">
      <formula>TRUE</formula>
    </cfRule>
  </conditionalFormatting>
  <dataValidations disablePrompts="1" count="1">
    <dataValidation type="list" sqref="H6 H8:H15" xr:uid="{00000000-0002-0000-0200-000000000000}">
      <formula1>"TRUE,FALSE"</formula1>
    </dataValidation>
  </dataValidations>
  <pageMargins left="0.75" right="0.75" top="1" bottom="1" header="0.5" footer="0.5"/>
  <pageSetup orientation="portrait" r:id="rId1"/>
  <headerFooter>
    <oddHeader>&amp;L&amp;"Calibri"&amp;10&amp;K000000 Confidential - Oracle Restricted \Employees Only&amp;1#_x000D_&amp;"Calibri"&amp;11&amp;K000000&amp;"Calibri"&amp;11&amp;K000000&amp;"Calibri"&amp;11&amp;K000000&amp;"Calibri"&amp;11&amp;K000000&amp;"Calibri"&amp;1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Only_x000D_&amp;1#&amp;"Calibri"&amp;10&amp;K000000 Confidential - Oracle Restricted \Employees Only</oddFooter>
  </headerFooter>
  <legacyDrawing r:id="rId2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 da transferência</vt:lpstr>
      <vt:lpstr>Tarifas por região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Nicoli</cp:lastModifiedBy>
  <dcterms:created xsi:type="dcterms:W3CDTF">2026-08-19T13:30:40Z</dcterms:created>
  <dcterms:modified xsi:type="dcterms:W3CDTF">2026-08-20T16:37:50Z</dcterms:modified>
</cp:coreProperties>
</file>