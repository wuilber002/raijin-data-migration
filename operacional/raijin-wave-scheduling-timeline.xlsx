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\home\inicoli\TRAMPO\OCI\object_storage\raijin-data-migration_s3-to-oci\operational\"/>
    </mc:Choice>
  </mc:AlternateContent>
  <xr:revisionPtr revIDLastSave="0" documentId="13_ncr:1_{3816D8F4-EEB5-4BFF-94C8-6962D594F469}" xr6:coauthVersionLast="47" xr6:coauthVersionMax="47" xr10:uidLastSave="{00000000-0000-0000-0000-000000000000}"/>
  <bookViews>
    <workbookView xWindow="-120" yWindow="-16320" windowWidth="29040" windowHeight="16440" tabRatio="448" activeTab="1" xr2:uid="{00000000-000D-0000-FFFF-FFFF00000000}"/>
  </bookViews>
  <sheets>
    <sheet name="Premissas" sheetId="1" r:id="rId1"/>
    <sheet name="Cronograma - 50 waves" sheetId="2" r:id="rId2"/>
    <sheet name="Legenda" sheetId="3" r:id="rId3"/>
  </sheets>
  <definedNames>
    <definedName name="_xlnm._FilterDatabase" localSheetId="1" hidden="1">'Cronograma - 50 waves'!$A$5:$J$55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2" l="1"/>
  <c r="H55" i="2"/>
  <c r="B55" i="2"/>
  <c r="H54" i="2"/>
  <c r="B54" i="2"/>
  <c r="H53" i="2"/>
  <c r="B53" i="2"/>
  <c r="H52" i="2"/>
  <c r="B52" i="2"/>
  <c r="H51" i="2"/>
  <c r="B51" i="2"/>
  <c r="H50" i="2"/>
  <c r="B50" i="2"/>
  <c r="H49" i="2"/>
  <c r="B49" i="2"/>
  <c r="H48" i="2"/>
  <c r="B48" i="2"/>
  <c r="H47" i="2"/>
  <c r="B47" i="2"/>
  <c r="H46" i="2"/>
  <c r="B46" i="2"/>
  <c r="H45" i="2"/>
  <c r="B45" i="2"/>
  <c r="H44" i="2"/>
  <c r="B44" i="2"/>
  <c r="H43" i="2"/>
  <c r="B43" i="2"/>
  <c r="H42" i="2"/>
  <c r="B42" i="2"/>
  <c r="H41" i="2"/>
  <c r="B41" i="2"/>
  <c r="H40" i="2"/>
  <c r="B40" i="2"/>
  <c r="H39" i="2"/>
  <c r="B39" i="2"/>
  <c r="H38" i="2"/>
  <c r="B38" i="2"/>
  <c r="H37" i="2"/>
  <c r="B37" i="2"/>
  <c r="H36" i="2"/>
  <c r="B36" i="2"/>
  <c r="H35" i="2"/>
  <c r="B35" i="2"/>
  <c r="H34" i="2"/>
  <c r="B34" i="2"/>
  <c r="H33" i="2"/>
  <c r="B33" i="2"/>
  <c r="H32" i="2"/>
  <c r="B32" i="2"/>
  <c r="H31" i="2"/>
  <c r="B31" i="2"/>
  <c r="H30" i="2"/>
  <c r="B30" i="2"/>
  <c r="H29" i="2"/>
  <c r="B29" i="2"/>
  <c r="H28" i="2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B13" i="1"/>
  <c r="B11" i="1"/>
  <c r="G12" i="2" s="1"/>
  <c r="B8" i="1"/>
  <c r="C20" i="2" s="1"/>
  <c r="B14" i="1" l="1"/>
  <c r="G8" i="2"/>
  <c r="G14" i="2"/>
  <c r="C21" i="2"/>
  <c r="E21" i="2" s="1"/>
  <c r="F21" i="2" s="1"/>
  <c r="C19" i="2"/>
  <c r="D19" i="2" s="1"/>
  <c r="G6" i="2"/>
  <c r="C14" i="2"/>
  <c r="E14" i="2" s="1"/>
  <c r="F14" i="2" s="1"/>
  <c r="C17" i="2"/>
  <c r="E17" i="2" s="1"/>
  <c r="F17" i="2" s="1"/>
  <c r="G10" i="2"/>
  <c r="E20" i="2"/>
  <c r="F20" i="2" s="1"/>
  <c r="D20" i="2"/>
  <c r="BS20" i="2" s="1"/>
  <c r="B64" i="2"/>
  <c r="G55" i="2"/>
  <c r="G54" i="2"/>
  <c r="B60" i="2"/>
  <c r="G53" i="2"/>
  <c r="G52" i="2"/>
  <c r="G51" i="2"/>
  <c r="G50" i="2"/>
  <c r="G49" i="2"/>
  <c r="G48" i="2"/>
  <c r="G47" i="2"/>
  <c r="G46" i="2"/>
  <c r="G43" i="2"/>
  <c r="G42" i="2"/>
  <c r="G45" i="2"/>
  <c r="G41" i="2"/>
  <c r="G40" i="2"/>
  <c r="G39" i="2"/>
  <c r="G38" i="2"/>
  <c r="G44" i="2"/>
  <c r="G37" i="2"/>
  <c r="G35" i="2"/>
  <c r="G33" i="2"/>
  <c r="G32" i="2"/>
  <c r="G31" i="2"/>
  <c r="G34" i="2"/>
  <c r="G36" i="2"/>
  <c r="G30" i="2"/>
  <c r="G29" i="2"/>
  <c r="G28" i="2"/>
  <c r="G26" i="2"/>
  <c r="G25" i="2"/>
  <c r="G24" i="2"/>
  <c r="G27" i="2"/>
  <c r="G22" i="2"/>
  <c r="G21" i="2"/>
  <c r="G20" i="2"/>
  <c r="G19" i="2"/>
  <c r="G18" i="2"/>
  <c r="G17" i="2"/>
  <c r="G16" i="2"/>
  <c r="G23" i="2"/>
  <c r="G15" i="2"/>
  <c r="G7" i="2"/>
  <c r="G9" i="2"/>
  <c r="G11" i="2"/>
  <c r="G13" i="2"/>
  <c r="C15" i="2"/>
  <c r="C6" i="2"/>
  <c r="C7" i="2"/>
  <c r="C8" i="2"/>
  <c r="C9" i="2"/>
  <c r="C10" i="2"/>
  <c r="C11" i="2"/>
  <c r="C12" i="2"/>
  <c r="C13" i="2"/>
  <c r="C16" i="2"/>
  <c r="C18" i="2"/>
  <c r="C54" i="2"/>
  <c r="C55" i="2"/>
  <c r="C53" i="2"/>
  <c r="C52" i="2"/>
  <c r="C50" i="2"/>
  <c r="C51" i="2"/>
  <c r="C49" i="2"/>
  <c r="C48" i="2"/>
  <c r="C47" i="2"/>
  <c r="C46" i="2"/>
  <c r="C45" i="2"/>
  <c r="C44" i="2"/>
  <c r="C43" i="2"/>
  <c r="C41" i="2"/>
  <c r="C40" i="2"/>
  <c r="C39" i="2"/>
  <c r="C38" i="2"/>
  <c r="C42" i="2"/>
  <c r="C37" i="2"/>
  <c r="C36" i="2"/>
  <c r="C35" i="2"/>
  <c r="C33" i="2"/>
  <c r="C32" i="2"/>
  <c r="C34" i="2"/>
  <c r="C30" i="2"/>
  <c r="C29" i="2"/>
  <c r="C28" i="2"/>
  <c r="C27" i="2"/>
  <c r="C31" i="2"/>
  <c r="C26" i="2"/>
  <c r="C25" i="2"/>
  <c r="C24" i="2"/>
  <c r="C23" i="2"/>
  <c r="C22" i="2"/>
  <c r="CE20" i="2" l="1"/>
  <c r="BW20" i="2"/>
  <c r="BX20" i="2"/>
  <c r="DK20" i="2"/>
  <c r="BY20" i="2"/>
  <c r="BP20" i="2"/>
  <c r="BY19" i="2"/>
  <c r="D21" i="2"/>
  <c r="DE21" i="2" s="1"/>
  <c r="GV20" i="2"/>
  <c r="BP19" i="2"/>
  <c r="BX19" i="2"/>
  <c r="E19" i="2"/>
  <c r="F19" i="2" s="1"/>
  <c r="BO19" i="2"/>
  <c r="K20" i="2"/>
  <c r="D14" i="2"/>
  <c r="DJ14" i="2" s="1"/>
  <c r="CD20" i="2"/>
  <c r="FG20" i="2"/>
  <c r="CA19" i="2"/>
  <c r="AY20" i="2"/>
  <c r="ES20" i="2"/>
  <c r="AI20" i="2"/>
  <c r="GO20" i="2"/>
  <c r="M20" i="2"/>
  <c r="BH20" i="2"/>
  <c r="EZ20" i="2"/>
  <c r="DF20" i="2"/>
  <c r="BT19" i="2"/>
  <c r="FY20" i="2"/>
  <c r="EA20" i="2"/>
  <c r="HU20" i="2"/>
  <c r="AS20" i="2"/>
  <c r="GF20" i="2"/>
  <c r="FR20" i="2"/>
  <c r="EQ20" i="2"/>
  <c r="CO20" i="2"/>
  <c r="GM20" i="2"/>
  <c r="AQ20" i="2"/>
  <c r="FQ20" i="2"/>
  <c r="CF20" i="2"/>
  <c r="HD20" i="2"/>
  <c r="BV19" i="2"/>
  <c r="FW20" i="2"/>
  <c r="DU20" i="2"/>
  <c r="HS20" i="2"/>
  <c r="GW20" i="2"/>
  <c r="CN20" i="2"/>
  <c r="GD20" i="2"/>
  <c r="CA20" i="2"/>
  <c r="BZ19" i="2"/>
  <c r="BA20" i="2"/>
  <c r="FA20" i="2"/>
  <c r="AK20" i="2"/>
  <c r="FO20" i="2"/>
  <c r="L20" i="2"/>
  <c r="DT20" i="2"/>
  <c r="V20" i="2"/>
  <c r="CB20" i="2"/>
  <c r="HK20" i="2"/>
  <c r="D17" i="2"/>
  <c r="FO17" i="2" s="1"/>
  <c r="CG20" i="2"/>
  <c r="GG20" i="2"/>
  <c r="BQ20" i="2"/>
  <c r="GU20" i="2"/>
  <c r="T20" i="2"/>
  <c r="EJ20" i="2"/>
  <c r="AL20" i="2"/>
  <c r="BU20" i="2"/>
  <c r="HE20" i="2"/>
  <c r="S20" i="2"/>
  <c r="DM20" i="2"/>
  <c r="HM20" i="2"/>
  <c r="FI20" i="2"/>
  <c r="IA20" i="2"/>
  <c r="AB20" i="2"/>
  <c r="ER20" i="2"/>
  <c r="AT20" i="2"/>
  <c r="CC20" i="2"/>
  <c r="D37" i="2"/>
  <c r="ET37" i="2" s="1"/>
  <c r="E37" i="2"/>
  <c r="F37" i="2" s="1"/>
  <c r="E11" i="2"/>
  <c r="F11" i="2" s="1"/>
  <c r="D11" i="2"/>
  <c r="E22" i="2"/>
  <c r="F22" i="2" s="1"/>
  <c r="D22" i="2"/>
  <c r="D42" i="2"/>
  <c r="FH42" i="2" s="1"/>
  <c r="E42" i="2"/>
  <c r="F42" i="2" s="1"/>
  <c r="E46" i="2"/>
  <c r="F46" i="2" s="1"/>
  <c r="D46" i="2"/>
  <c r="E55" i="2"/>
  <c r="F55" i="2" s="1"/>
  <c r="D55" i="2"/>
  <c r="HI55" i="2" s="1"/>
  <c r="E10" i="2"/>
  <c r="D10" i="2"/>
  <c r="CH20" i="2"/>
  <c r="ET20" i="2"/>
  <c r="HF20" i="2"/>
  <c r="AU20" i="2"/>
  <c r="DG20" i="2"/>
  <c r="FS20" i="2"/>
  <c r="P20" i="2"/>
  <c r="EN20" i="2"/>
  <c r="GZ20" i="2"/>
  <c r="AW20" i="2"/>
  <c r="DI20" i="2"/>
  <c r="FU20" i="2"/>
  <c r="R20" i="2"/>
  <c r="EP20" i="2"/>
  <c r="HB20" i="2"/>
  <c r="D53" i="2"/>
  <c r="E53" i="2"/>
  <c r="E29" i="2"/>
  <c r="F29" i="2" s="1"/>
  <c r="D29" i="2"/>
  <c r="DM29" i="2" s="1"/>
  <c r="E15" i="2"/>
  <c r="F15" i="2" s="1"/>
  <c r="D15" i="2"/>
  <c r="E23" i="2"/>
  <c r="D23" i="2"/>
  <c r="CB23" i="2" s="1"/>
  <c r="E30" i="2"/>
  <c r="D30" i="2"/>
  <c r="DK30" i="2" s="1"/>
  <c r="E38" i="2"/>
  <c r="F38" i="2" s="1"/>
  <c r="D38" i="2"/>
  <c r="E47" i="2"/>
  <c r="F47" i="2" s="1"/>
  <c r="D47" i="2"/>
  <c r="GJ47" i="2" s="1"/>
  <c r="E54" i="2"/>
  <c r="D54" i="2"/>
  <c r="HI54" i="2" s="1"/>
  <c r="E9" i="2"/>
  <c r="D9" i="2"/>
  <c r="AK9" i="2" s="1"/>
  <c r="BW19" i="2"/>
  <c r="BR19" i="2"/>
  <c r="BL19" i="2"/>
  <c r="BN19" i="2"/>
  <c r="EB20" i="2"/>
  <c r="GN20" i="2"/>
  <c r="AD20" i="2"/>
  <c r="CP20" i="2"/>
  <c r="FB20" i="2"/>
  <c r="HN20" i="2"/>
  <c r="BC20" i="2"/>
  <c r="DO20" i="2"/>
  <c r="GA20" i="2"/>
  <c r="X20" i="2"/>
  <c r="CJ20" i="2"/>
  <c r="EV20" i="2"/>
  <c r="HH20" i="2"/>
  <c r="BE20" i="2"/>
  <c r="DQ20" i="2"/>
  <c r="GC20" i="2"/>
  <c r="Z20" i="2"/>
  <c r="CL20" i="2"/>
  <c r="EX20" i="2"/>
  <c r="HJ20" i="2"/>
  <c r="CX20" i="2"/>
  <c r="FJ20" i="2"/>
  <c r="HV20" i="2"/>
  <c r="BK20" i="2"/>
  <c r="DW20" i="2"/>
  <c r="GI20" i="2"/>
  <c r="AF20" i="2"/>
  <c r="CR20" i="2"/>
  <c r="FD20" i="2"/>
  <c r="HP20" i="2"/>
  <c r="BM20" i="2"/>
  <c r="DY20" i="2"/>
  <c r="GK20" i="2"/>
  <c r="AH20" i="2"/>
  <c r="CT20" i="2"/>
  <c r="FF20" i="2"/>
  <c r="HR20" i="2"/>
  <c r="D32" i="2"/>
  <c r="E32" i="2"/>
  <c r="F32" i="2" s="1"/>
  <c r="E18" i="2"/>
  <c r="F18" i="2" s="1"/>
  <c r="D18" i="2"/>
  <c r="EE20" i="2"/>
  <c r="GQ20" i="2"/>
  <c r="AN20" i="2"/>
  <c r="CZ20" i="2"/>
  <c r="FL20" i="2"/>
  <c r="HX20" i="2"/>
  <c r="EG20" i="2"/>
  <c r="GS20" i="2"/>
  <c r="AP20" i="2"/>
  <c r="DB20" i="2"/>
  <c r="FN20" i="2"/>
  <c r="HZ20" i="2"/>
  <c r="E28" i="2"/>
  <c r="D28" i="2"/>
  <c r="DE28" i="2" s="1"/>
  <c r="D45" i="2"/>
  <c r="FM45" i="2" s="1"/>
  <c r="E45" i="2"/>
  <c r="E24" i="2"/>
  <c r="F24" i="2" s="1"/>
  <c r="D24" i="2"/>
  <c r="E48" i="2"/>
  <c r="D48" i="2"/>
  <c r="GI48" i="2" s="1"/>
  <c r="E8" i="2"/>
  <c r="D8" i="2"/>
  <c r="AD8" i="2" s="1"/>
  <c r="E25" i="2"/>
  <c r="D25" i="2"/>
  <c r="CV25" i="2" s="1"/>
  <c r="E26" i="2"/>
  <c r="D26" i="2"/>
  <c r="CV26" i="2" s="1"/>
  <c r="E16" i="2"/>
  <c r="F16" i="2" s="1"/>
  <c r="D16" i="2"/>
  <c r="HL20" i="2"/>
  <c r="BB20" i="2"/>
  <c r="DN20" i="2"/>
  <c r="FZ20" i="2"/>
  <c r="O20" i="2"/>
  <c r="EM20" i="2"/>
  <c r="GY20" i="2"/>
  <c r="AV20" i="2"/>
  <c r="DH20" i="2"/>
  <c r="FT20" i="2"/>
  <c r="Q20" i="2"/>
  <c r="EO20" i="2"/>
  <c r="HA20" i="2"/>
  <c r="AX20" i="2"/>
  <c r="DJ20" i="2"/>
  <c r="FV20" i="2"/>
  <c r="BG20" i="2"/>
  <c r="D34" i="2"/>
  <c r="EJ34" i="2" s="1"/>
  <c r="E34" i="2"/>
  <c r="F34" i="2" s="1"/>
  <c r="E39" i="2"/>
  <c r="F39" i="2" s="1"/>
  <c r="D39" i="2"/>
  <c r="E40" i="2"/>
  <c r="F40" i="2" s="1"/>
  <c r="D40" i="2"/>
  <c r="E49" i="2"/>
  <c r="D49" i="2"/>
  <c r="GH49" i="2" s="1"/>
  <c r="E7" i="2"/>
  <c r="F7" i="2" s="1"/>
  <c r="D7" i="2"/>
  <c r="D33" i="2"/>
  <c r="E33" i="2"/>
  <c r="F33" i="2" s="1"/>
  <c r="E41" i="2"/>
  <c r="F41" i="2" s="1"/>
  <c r="D41" i="2"/>
  <c r="E51" i="2"/>
  <c r="F51" i="2" s="1"/>
  <c r="D51" i="2"/>
  <c r="E6" i="2"/>
  <c r="D6" i="2"/>
  <c r="V6" i="2" s="1"/>
  <c r="E31" i="2"/>
  <c r="D31" i="2"/>
  <c r="DL31" i="2" s="1"/>
  <c r="D35" i="2"/>
  <c r="EJ35" i="2" s="1"/>
  <c r="E35" i="2"/>
  <c r="F35" i="2" s="1"/>
  <c r="D43" i="2"/>
  <c r="FI43" i="2" s="1"/>
  <c r="E43" i="2"/>
  <c r="F43" i="2" s="1"/>
  <c r="E50" i="2"/>
  <c r="D50" i="2"/>
  <c r="GM50" i="2" s="1"/>
  <c r="E13" i="2"/>
  <c r="F13" i="2" s="1"/>
  <c r="D13" i="2"/>
  <c r="AQ13" i="2" s="1"/>
  <c r="BM19" i="2"/>
  <c r="AJ20" i="2"/>
  <c r="CV20" i="2"/>
  <c r="FH20" i="2"/>
  <c r="HT20" i="2"/>
  <c r="BJ20" i="2"/>
  <c r="DV20" i="2"/>
  <c r="GH20" i="2"/>
  <c r="W20" i="2"/>
  <c r="CI20" i="2"/>
  <c r="EU20" i="2"/>
  <c r="HG20" i="2"/>
  <c r="BD20" i="2"/>
  <c r="DP20" i="2"/>
  <c r="GB20" i="2"/>
  <c r="Y20" i="2"/>
  <c r="CK20" i="2"/>
  <c r="EW20" i="2"/>
  <c r="HI20" i="2"/>
  <c r="BF20" i="2"/>
  <c r="DR20" i="2"/>
  <c r="D27" i="2"/>
  <c r="DF27" i="2" s="1"/>
  <c r="E27" i="2"/>
  <c r="F27" i="2" s="1"/>
  <c r="D36" i="2"/>
  <c r="E36" i="2"/>
  <c r="F36" i="2" s="1"/>
  <c r="E44" i="2"/>
  <c r="F44" i="2" s="1"/>
  <c r="D44" i="2"/>
  <c r="FV44" i="2" s="1"/>
  <c r="D52" i="2"/>
  <c r="GP52" i="2" s="1"/>
  <c r="E52" i="2"/>
  <c r="F52" i="2" s="1"/>
  <c r="E12" i="2"/>
  <c r="F12" i="2" s="1"/>
  <c r="D12" i="2"/>
  <c r="BQ19" i="2"/>
  <c r="BS19" i="2"/>
  <c r="BU19" i="2"/>
  <c r="HC20" i="2"/>
  <c r="AC20" i="2"/>
  <c r="BO20" i="2"/>
  <c r="CW20" i="2"/>
  <c r="DC20" i="2"/>
  <c r="DE20" i="2"/>
  <c r="AR20" i="2"/>
  <c r="DD20" i="2"/>
  <c r="FP20" i="2"/>
  <c r="CM20" i="2"/>
  <c r="AA20" i="2"/>
  <c r="BR20" i="2"/>
  <c r="ED20" i="2"/>
  <c r="GP20" i="2"/>
  <c r="AE20" i="2"/>
  <c r="CQ20" i="2"/>
  <c r="FC20" i="2"/>
  <c r="HO20" i="2"/>
  <c r="BL20" i="2"/>
  <c r="DX20" i="2"/>
  <c r="GJ20" i="2"/>
  <c r="AG20" i="2"/>
  <c r="CS20" i="2"/>
  <c r="FE20" i="2"/>
  <c r="HQ20" i="2"/>
  <c r="BN20" i="2"/>
  <c r="DZ20" i="2"/>
  <c r="GL20" i="2"/>
  <c r="GE20" i="2"/>
  <c r="EY20" i="2"/>
  <c r="U20" i="2"/>
  <c r="BI20" i="2"/>
  <c r="CU20" i="2"/>
  <c r="EC20" i="2"/>
  <c r="EI20" i="2"/>
  <c r="EK20" i="2"/>
  <c r="AZ20" i="2"/>
  <c r="DL20" i="2"/>
  <c r="FX20" i="2"/>
  <c r="N20" i="2"/>
  <c r="BZ20" i="2"/>
  <c r="EL20" i="2"/>
  <c r="GX20" i="2"/>
  <c r="AM20" i="2"/>
  <c r="CY20" i="2"/>
  <c r="FK20" i="2"/>
  <c r="HW20" i="2"/>
  <c r="BT20" i="2"/>
  <c r="EF20" i="2"/>
  <c r="GR20" i="2"/>
  <c r="AO20" i="2"/>
  <c r="DA20" i="2"/>
  <c r="FM20" i="2"/>
  <c r="HY20" i="2"/>
  <c r="BV20" i="2"/>
  <c r="EH20" i="2"/>
  <c r="GT20" i="2"/>
  <c r="DS20" i="2"/>
  <c r="HH14" i="2" l="1"/>
  <c r="CX21" i="2"/>
  <c r="L17" i="2"/>
  <c r="DP19" i="2"/>
  <c r="HD14" i="2"/>
  <c r="DJ21" i="2"/>
  <c r="DB17" i="2"/>
  <c r="EN17" i="2"/>
  <c r="AT21" i="2"/>
  <c r="HF17" i="2"/>
  <c r="EN21" i="2"/>
  <c r="BY14" i="2"/>
  <c r="BO21" i="2"/>
  <c r="CG17" i="2"/>
  <c r="CL21" i="2"/>
  <c r="BQ21" i="2"/>
  <c r="EY14" i="2"/>
  <c r="GY21" i="2"/>
  <c r="FX21" i="2"/>
  <c r="HW14" i="2"/>
  <c r="U14" i="2"/>
  <c r="BE17" i="2"/>
  <c r="O14" i="2"/>
  <c r="EL21" i="2"/>
  <c r="DZ21" i="2"/>
  <c r="CT14" i="2"/>
  <c r="BL17" i="2"/>
  <c r="R21" i="2"/>
  <c r="BT14" i="2"/>
  <c r="GW14" i="2"/>
  <c r="GX21" i="2"/>
  <c r="GL21" i="2"/>
  <c r="HU14" i="2"/>
  <c r="DN21" i="2"/>
  <c r="DW19" i="2"/>
  <c r="DL21" i="2"/>
  <c r="FK14" i="2"/>
  <c r="FJ17" i="2"/>
  <c r="R14" i="2"/>
  <c r="HH17" i="2"/>
  <c r="FX14" i="2"/>
  <c r="CN21" i="2"/>
  <c r="AG21" i="2"/>
  <c r="FL14" i="2"/>
  <c r="Y21" i="2"/>
  <c r="BE21" i="2"/>
  <c r="AL21" i="2"/>
  <c r="HZ21" i="2"/>
  <c r="EK14" i="2"/>
  <c r="DL14" i="2"/>
  <c r="HM21" i="2"/>
  <c r="GY17" i="2"/>
  <c r="EG21" i="2"/>
  <c r="DU21" i="2"/>
  <c r="AY14" i="2"/>
  <c r="BP14" i="2"/>
  <c r="DK14" i="2"/>
  <c r="AB14" i="2"/>
  <c r="AX21" i="2"/>
  <c r="ER14" i="2"/>
  <c r="FW14" i="2"/>
  <c r="GM21" i="2"/>
  <c r="K14" i="2"/>
  <c r="CV17" i="2"/>
  <c r="ER19" i="2"/>
  <c r="BB17" i="2"/>
  <c r="FR21" i="2"/>
  <c r="FS43" i="2"/>
  <c r="HR21" i="2"/>
  <c r="EL14" i="2"/>
  <c r="IA14" i="2"/>
  <c r="AE21" i="2"/>
  <c r="FU21" i="2"/>
  <c r="FP21" i="2"/>
  <c r="BB21" i="2"/>
  <c r="AJ17" i="2"/>
  <c r="FV21" i="2"/>
  <c r="AU14" i="2"/>
  <c r="DF21" i="2"/>
  <c r="FF21" i="2"/>
  <c r="FN17" i="2"/>
  <c r="DC14" i="2"/>
  <c r="HC21" i="2"/>
  <c r="HH21" i="2"/>
  <c r="CV14" i="2"/>
  <c r="AY21" i="2"/>
  <c r="EM46" i="2"/>
  <c r="HL17" i="2"/>
  <c r="HK17" i="2"/>
  <c r="ET17" i="2"/>
  <c r="AZ14" i="2"/>
  <c r="GU17" i="2"/>
  <c r="HC14" i="2"/>
  <c r="EH14" i="2"/>
  <c r="BU21" i="2"/>
  <c r="EC21" i="2"/>
  <c r="HP21" i="2"/>
  <c r="L14" i="2"/>
  <c r="BA14" i="2"/>
  <c r="FL17" i="2"/>
  <c r="GT14" i="2"/>
  <c r="ER17" i="2"/>
  <c r="FY14" i="2"/>
  <c r="CH17" i="2"/>
  <c r="CZ14" i="2"/>
  <c r="AS14" i="2"/>
  <c r="CJ14" i="2"/>
  <c r="Q21" i="2"/>
  <c r="GN21" i="2"/>
  <c r="HV14" i="2"/>
  <c r="EK17" i="2"/>
  <c r="DX14" i="2"/>
  <c r="CO14" i="2"/>
  <c r="DB14" i="2"/>
  <c r="FJ14" i="2"/>
  <c r="FM21" i="2"/>
  <c r="BY21" i="2"/>
  <c r="DX21" i="2"/>
  <c r="DC17" i="2"/>
  <c r="FP14" i="2"/>
  <c r="AQ21" i="2"/>
  <c r="DO21" i="2"/>
  <c r="EW21" i="2"/>
  <c r="BH14" i="2"/>
  <c r="BF17" i="2"/>
  <c r="X14" i="2"/>
  <c r="CE14" i="2"/>
  <c r="FT21" i="2"/>
  <c r="BV14" i="2"/>
  <c r="CX14" i="2"/>
  <c r="HX21" i="2"/>
  <c r="HK21" i="2"/>
  <c r="FD21" i="2"/>
  <c r="EC17" i="2"/>
  <c r="DS14" i="2"/>
  <c r="BL14" i="2"/>
  <c r="FG14" i="2"/>
  <c r="FA14" i="2"/>
  <c r="AP14" i="2"/>
  <c r="AL14" i="2"/>
  <c r="AO21" i="2"/>
  <c r="HO21" i="2"/>
  <c r="AR14" i="2"/>
  <c r="FO21" i="2"/>
  <c r="HF21" i="2"/>
  <c r="DQ21" i="2"/>
  <c r="DD21" i="2"/>
  <c r="CG21" i="2"/>
  <c r="BC17" i="2"/>
  <c r="EV14" i="2"/>
  <c r="CW14" i="2"/>
  <c r="DQ14" i="2"/>
  <c r="BX14" i="2"/>
  <c r="GJ14" i="2"/>
  <c r="AD14" i="2"/>
  <c r="ES17" i="2"/>
  <c r="CI17" i="2"/>
  <c r="EZ14" i="2"/>
  <c r="DH21" i="2"/>
  <c r="CW21" i="2"/>
  <c r="DE14" i="2"/>
  <c r="GZ14" i="2"/>
  <c r="HE14" i="2"/>
  <c r="FL21" i="2"/>
  <c r="CR21" i="2"/>
  <c r="CU17" i="2"/>
  <c r="HY14" i="2"/>
  <c r="HO14" i="2"/>
  <c r="AI14" i="2"/>
  <c r="HM14" i="2"/>
  <c r="FT14" i="2"/>
  <c r="ES14" i="2"/>
  <c r="GR21" i="2"/>
  <c r="HD21" i="2"/>
  <c r="EL17" i="2"/>
  <c r="GE14" i="2"/>
  <c r="CM14" i="2"/>
  <c r="GB21" i="2"/>
  <c r="HB21" i="2"/>
  <c r="BA21" i="2"/>
  <c r="FH17" i="2"/>
  <c r="CN14" i="2"/>
  <c r="AV21" i="2"/>
  <c r="FQ21" i="2"/>
  <c r="AV17" i="2"/>
  <c r="DG14" i="2"/>
  <c r="AG14" i="2"/>
  <c r="BS21" i="2"/>
  <c r="AF21" i="2"/>
  <c r="HZ17" i="2"/>
  <c r="EF14" i="2"/>
  <c r="BQ14" i="2"/>
  <c r="HV17" i="2"/>
  <c r="EB14" i="2"/>
  <c r="GK14" i="2"/>
  <c r="HQ14" i="2"/>
  <c r="DQ17" i="2"/>
  <c r="DH14" i="2"/>
  <c r="Y14" i="2"/>
  <c r="CY21" i="2"/>
  <c r="N17" i="2"/>
  <c r="Z14" i="2"/>
  <c r="EU21" i="2"/>
  <c r="CK21" i="2"/>
  <c r="DA21" i="2"/>
  <c r="AM21" i="2"/>
  <c r="AB21" i="2"/>
  <c r="GJ21" i="2"/>
  <c r="ER21" i="2"/>
  <c r="AI17" i="2"/>
  <c r="BZ17" i="2"/>
  <c r="HX14" i="2"/>
  <c r="DD14" i="2"/>
  <c r="EC14" i="2"/>
  <c r="ED21" i="2"/>
  <c r="AX22" i="2"/>
  <c r="HN21" i="2"/>
  <c r="CB21" i="2"/>
  <c r="DR21" i="2"/>
  <c r="CD21" i="2"/>
  <c r="Z21" i="2"/>
  <c r="GD21" i="2"/>
  <c r="CU21" i="2"/>
  <c r="M21" i="2"/>
  <c r="BX21" i="2"/>
  <c r="HI17" i="2"/>
  <c r="FG17" i="2"/>
  <c r="GA14" i="2"/>
  <c r="AC14" i="2"/>
  <c r="FR14" i="2"/>
  <c r="HA21" i="2"/>
  <c r="EM21" i="2"/>
  <c r="EB21" i="2"/>
  <c r="FW21" i="2"/>
  <c r="FV17" i="2"/>
  <c r="EZ17" i="2"/>
  <c r="EN14" i="2"/>
  <c r="CF14" i="2"/>
  <c r="CG14" i="2"/>
  <c r="FN21" i="2"/>
  <c r="CZ21" i="2"/>
  <c r="HE21" i="2"/>
  <c r="CT21" i="2"/>
  <c r="GI21" i="2"/>
  <c r="AZ21" i="2"/>
  <c r="CZ17" i="2"/>
  <c r="GL14" i="2"/>
  <c r="CY14" i="2"/>
  <c r="DA14" i="2"/>
  <c r="S14" i="2"/>
  <c r="DY17" i="2"/>
  <c r="FY17" i="2"/>
  <c r="FC14" i="2"/>
  <c r="HI14" i="2"/>
  <c r="DV14" i="2"/>
  <c r="CC14" i="2"/>
  <c r="GG14" i="2"/>
  <c r="HN17" i="2"/>
  <c r="EY17" i="2"/>
  <c r="AV14" i="2"/>
  <c r="GU14" i="2"/>
  <c r="EA14" i="2"/>
  <c r="GT21" i="2"/>
  <c r="EF21" i="2"/>
  <c r="BZ21" i="2"/>
  <c r="BN21" i="2"/>
  <c r="FC21" i="2"/>
  <c r="EH17" i="2"/>
  <c r="AY17" i="2"/>
  <c r="AN14" i="2"/>
  <c r="BG14" i="2"/>
  <c r="GX14" i="2"/>
  <c r="BW21" i="2"/>
  <c r="BR17" i="2"/>
  <c r="V14" i="2"/>
  <c r="AD21" i="2"/>
  <c r="BD21" i="2"/>
  <c r="GZ21" i="2"/>
  <c r="P21" i="2"/>
  <c r="GA21" i="2"/>
  <c r="CH21" i="2"/>
  <c r="BF21" i="2"/>
  <c r="GG21" i="2"/>
  <c r="L21" i="2"/>
  <c r="FQ14" i="2"/>
  <c r="EW17" i="2"/>
  <c r="HB14" i="2"/>
  <c r="DO14" i="2"/>
  <c r="EG14" i="2"/>
  <c r="AT14" i="2"/>
  <c r="EO21" i="2"/>
  <c r="CA21" i="2"/>
  <c r="BP21" i="2"/>
  <c r="BG21" i="2"/>
  <c r="DJ17" i="2"/>
  <c r="FQ17" i="2"/>
  <c r="CB14" i="2"/>
  <c r="T14" i="2"/>
  <c r="GM14" i="2"/>
  <c r="DB21" i="2"/>
  <c r="AN21" i="2"/>
  <c r="GF21" i="2"/>
  <c r="HS21" i="2"/>
  <c r="AH21" i="2"/>
  <c r="DW21" i="2"/>
  <c r="AN17" i="2"/>
  <c r="DZ14" i="2"/>
  <c r="AM14" i="2"/>
  <c r="HF14" i="2"/>
  <c r="BM21" i="2"/>
  <c r="BM17" i="2"/>
  <c r="GD14" i="2"/>
  <c r="CQ14" i="2"/>
  <c r="CK14" i="2"/>
  <c r="DU14" i="2"/>
  <c r="EO14" i="2"/>
  <c r="AH14" i="2"/>
  <c r="FB17" i="2"/>
  <c r="HB17" i="2"/>
  <c r="DM17" i="2"/>
  <c r="GY14" i="2"/>
  <c r="BW14" i="2"/>
  <c r="HN14" i="2"/>
  <c r="EH21" i="2"/>
  <c r="BT21" i="2"/>
  <c r="N21" i="2"/>
  <c r="HQ21" i="2"/>
  <c r="CQ21" i="2"/>
  <c r="GR17" i="2"/>
  <c r="M17" i="2"/>
  <c r="GQ14" i="2"/>
  <c r="FM14" i="2"/>
  <c r="BZ14" i="2"/>
  <c r="DC21" i="2"/>
  <c r="FP17" i="2"/>
  <c r="HI21" i="2"/>
  <c r="GH14" i="2"/>
  <c r="GS14" i="2"/>
  <c r="DG21" i="2"/>
  <c r="X21" i="2"/>
  <c r="BC21" i="2"/>
  <c r="W21" i="2"/>
  <c r="EX21" i="2"/>
  <c r="HG21" i="2"/>
  <c r="DM21" i="2"/>
  <c r="HG17" i="2"/>
  <c r="EP14" i="2"/>
  <c r="BC14" i="2"/>
  <c r="N14" i="2"/>
  <c r="CC21" i="2"/>
  <c r="O21" i="2"/>
  <c r="AI21" i="2"/>
  <c r="CO21" i="2"/>
  <c r="AX17" i="2"/>
  <c r="FI17" i="2"/>
  <c r="P14" i="2"/>
  <c r="EI14" i="2"/>
  <c r="BO14" i="2"/>
  <c r="AP21" i="2"/>
  <c r="GQ21" i="2"/>
  <c r="DT21" i="2"/>
  <c r="U21" i="2"/>
  <c r="GK21" i="2"/>
  <c r="HV21" i="2"/>
  <c r="AT17" i="2"/>
  <c r="BN14" i="2"/>
  <c r="GV14" i="2"/>
  <c r="CH14" i="2"/>
  <c r="BK21" i="2"/>
  <c r="HP17" i="2"/>
  <c r="DR14" i="2"/>
  <c r="AE14" i="2"/>
  <c r="GP14" i="2"/>
  <c r="BM14" i="2"/>
  <c r="HA14" i="2"/>
  <c r="CS14" i="2"/>
  <c r="HM17" i="2"/>
  <c r="AW17" i="2"/>
  <c r="CE17" i="2"/>
  <c r="EM14" i="2"/>
  <c r="GC14" i="2"/>
  <c r="CP14" i="2"/>
  <c r="BV21" i="2"/>
  <c r="HW21" i="2"/>
  <c r="HL21" i="2"/>
  <c r="CE21" i="2"/>
  <c r="FE21" i="2"/>
  <c r="GP21" i="2"/>
  <c r="GL17" i="2"/>
  <c r="EF17" i="2"/>
  <c r="HR14" i="2"/>
  <c r="EE14" i="2"/>
  <c r="AO14" i="2"/>
  <c r="FU14" i="2"/>
  <c r="K21" i="2"/>
  <c r="AW21" i="2"/>
  <c r="EP21" i="2"/>
  <c r="DF14" i="2"/>
  <c r="GH21" i="2"/>
  <c r="CI21" i="2"/>
  <c r="ET21" i="2"/>
  <c r="FZ14" i="2"/>
  <c r="CP21" i="2"/>
  <c r="HJ21" i="2"/>
  <c r="EA21" i="2"/>
  <c r="GV21" i="2"/>
  <c r="EU17" i="2"/>
  <c r="CD14" i="2"/>
  <c r="HL14" i="2"/>
  <c r="DN14" i="2"/>
  <c r="FZ21" i="2"/>
  <c r="DH17" i="2"/>
  <c r="EA17" i="2"/>
  <c r="FS14" i="2"/>
  <c r="Q14" i="2"/>
  <c r="FB14" i="2"/>
  <c r="GS21" i="2"/>
  <c r="EE21" i="2"/>
  <c r="BH21" i="2"/>
  <c r="CM21" i="2"/>
  <c r="DY21" i="2"/>
  <c r="FJ21" i="2"/>
  <c r="HD17" i="2"/>
  <c r="GR14" i="2"/>
  <c r="EJ14" i="2"/>
  <c r="GO14" i="2"/>
  <c r="GW21" i="2"/>
  <c r="BK17" i="2"/>
  <c r="BF14" i="2"/>
  <c r="GN14" i="2"/>
  <c r="BR14" i="2"/>
  <c r="DY14" i="2"/>
  <c r="BI14" i="2"/>
  <c r="FE14" i="2"/>
  <c r="GE17" i="2"/>
  <c r="GZ17" i="2"/>
  <c r="FN14" i="2"/>
  <c r="CA14" i="2"/>
  <c r="BE14" i="2"/>
  <c r="DI14" i="2"/>
  <c r="HY21" i="2"/>
  <c r="FK21" i="2"/>
  <c r="EZ21" i="2"/>
  <c r="ES21" i="2"/>
  <c r="CS21" i="2"/>
  <c r="BR21" i="2"/>
  <c r="ED17" i="2"/>
  <c r="BT17" i="2"/>
  <c r="FF14" i="2"/>
  <c r="BS14" i="2"/>
  <c r="ET14" i="2"/>
  <c r="BL21" i="2"/>
  <c r="EI21" i="2"/>
  <c r="CJ21" i="2"/>
  <c r="GC21" i="2"/>
  <c r="V21" i="2"/>
  <c r="DP14" i="2"/>
  <c r="FB21" i="2"/>
  <c r="CR14" i="2"/>
  <c r="HU21" i="2"/>
  <c r="HT14" i="2"/>
  <c r="BJ21" i="2"/>
  <c r="AC21" i="2"/>
  <c r="EQ21" i="2"/>
  <c r="EG41" i="2"/>
  <c r="BT55" i="2"/>
  <c r="CV21" i="2"/>
  <c r="BI21" i="2"/>
  <c r="DS21" i="2"/>
  <c r="DV21" i="2"/>
  <c r="Z32" i="2"/>
  <c r="DP21" i="2"/>
  <c r="FY21" i="2"/>
  <c r="S21" i="2"/>
  <c r="EV21" i="2"/>
  <c r="EY21" i="2"/>
  <c r="EA11" i="2"/>
  <c r="AF14" i="2"/>
  <c r="FS21" i="2"/>
  <c r="EK21" i="2"/>
  <c r="IA21" i="2"/>
  <c r="AA21" i="2"/>
  <c r="CF21" i="2"/>
  <c r="FA21" i="2"/>
  <c r="AU21" i="2"/>
  <c r="FU22" i="2"/>
  <c r="ED14" i="2"/>
  <c r="HT21" i="2"/>
  <c r="AR21" i="2"/>
  <c r="AJ21" i="2"/>
  <c r="GE21" i="2"/>
  <c r="GO21" i="2"/>
  <c r="AS21" i="2"/>
  <c r="AK21" i="2"/>
  <c r="FH21" i="2"/>
  <c r="DM32" i="2"/>
  <c r="FG21" i="2"/>
  <c r="DK21" i="2"/>
  <c r="T19" i="2"/>
  <c r="HA17" i="2"/>
  <c r="EM17" i="2"/>
  <c r="CN17" i="2"/>
  <c r="AP17" i="2"/>
  <c r="GQ17" i="2"/>
  <c r="CF17" i="2"/>
  <c r="HR17" i="2"/>
  <c r="FD17" i="2"/>
  <c r="CX17" i="2"/>
  <c r="EQ17" i="2"/>
  <c r="HJ17" i="2"/>
  <c r="EV17" i="2"/>
  <c r="CP17" i="2"/>
  <c r="DK17" i="2"/>
  <c r="EP17" i="2"/>
  <c r="CB17" i="2"/>
  <c r="V17" i="2"/>
  <c r="AS17" i="2"/>
  <c r="FE17" i="2"/>
  <c r="IA17" i="2"/>
  <c r="BV17" i="2"/>
  <c r="HW17" i="2"/>
  <c r="FX17" i="2"/>
  <c r="HS17" i="2"/>
  <c r="EV19" i="2"/>
  <c r="EY19" i="2"/>
  <c r="DG27" i="2"/>
  <c r="AE19" i="2"/>
  <c r="CN19" i="2"/>
  <c r="DB19" i="2"/>
  <c r="Y17" i="2"/>
  <c r="GH17" i="2"/>
  <c r="BG17" i="2"/>
  <c r="EO17" i="2"/>
  <c r="AB17" i="2"/>
  <c r="GS17" i="2"/>
  <c r="EE17" i="2"/>
  <c r="T17" i="2"/>
  <c r="FF17" i="2"/>
  <c r="CR17" i="2"/>
  <c r="AL17" i="2"/>
  <c r="DE17" i="2"/>
  <c r="EX17" i="2"/>
  <c r="CJ17" i="2"/>
  <c r="AD17" i="2"/>
  <c r="BY17" i="2"/>
  <c r="CD17" i="2"/>
  <c r="P17" i="2"/>
  <c r="GF17" i="2"/>
  <c r="AK17" i="2"/>
  <c r="IA19" i="2"/>
  <c r="GN47" i="2"/>
  <c r="CH23" i="2"/>
  <c r="AG17" i="2"/>
  <c r="AQ17" i="2"/>
  <c r="HY17" i="2"/>
  <c r="FK17" i="2"/>
  <c r="DL17" i="2"/>
  <c r="HT46" i="2"/>
  <c r="DZ17" i="2"/>
  <c r="GC19" i="2"/>
  <c r="CE19" i="2"/>
  <c r="CB19" i="2"/>
  <c r="AV19" i="2"/>
  <c r="CA17" i="2"/>
  <c r="CT19" i="2"/>
  <c r="GB17" i="2"/>
  <c r="DV17" i="2"/>
  <c r="U17" i="2"/>
  <c r="AN19" i="2"/>
  <c r="CC17" i="2"/>
  <c r="O17" i="2"/>
  <c r="BI17" i="2"/>
  <c r="GK19" i="2"/>
  <c r="EZ34" i="2"/>
  <c r="EG17" i="2"/>
  <c r="BS17" i="2"/>
  <c r="AC17" i="2"/>
  <c r="CT17" i="2"/>
  <c r="AF17" i="2"/>
  <c r="GV17" i="2"/>
  <c r="CW17" i="2"/>
  <c r="CL17" i="2"/>
  <c r="X17" i="2"/>
  <c r="GN17" i="2"/>
  <c r="BQ17" i="2"/>
  <c r="R17" i="2"/>
  <c r="FS17" i="2"/>
  <c r="DT17" i="2"/>
  <c r="AJ9" i="2"/>
  <c r="DX17" i="2"/>
  <c r="BO17" i="2"/>
  <c r="FM17" i="2"/>
  <c r="CY17" i="2"/>
  <c r="AZ17" i="2"/>
  <c r="BN17" i="2"/>
  <c r="EU19" i="2"/>
  <c r="M19" i="2"/>
  <c r="BJ19" i="2"/>
  <c r="CC19" i="2"/>
  <c r="AI19" i="2"/>
  <c r="CM41" i="2"/>
  <c r="W17" i="2"/>
  <c r="CO17" i="2"/>
  <c r="EE19" i="2"/>
  <c r="AA19" i="2"/>
  <c r="Q17" i="2"/>
  <c r="FZ17" i="2"/>
  <c r="AA17" i="2"/>
  <c r="BU17" i="2"/>
  <c r="FR17" i="2"/>
  <c r="HE17" i="2"/>
  <c r="AH17" i="2"/>
  <c r="GI17" i="2"/>
  <c r="EJ17" i="2"/>
  <c r="EI17" i="2"/>
  <c r="Z17" i="2"/>
  <c r="GA17" i="2"/>
  <c r="EB17" i="2"/>
  <c r="FU17" i="2"/>
  <c r="DG17" i="2"/>
  <c r="BH17" i="2"/>
  <c r="FC17" i="2"/>
  <c r="BW17" i="2"/>
  <c r="DA17" i="2"/>
  <c r="AM17" i="2"/>
  <c r="FA17" i="2"/>
  <c r="HQ17" i="2"/>
  <c r="GF19" i="2"/>
  <c r="GY19" i="2"/>
  <c r="HS14" i="2"/>
  <c r="GV19" i="2"/>
  <c r="AZ19" i="2"/>
  <c r="CK17" i="2"/>
  <c r="GS19" i="2"/>
  <c r="GD17" i="2"/>
  <c r="DP17" i="2"/>
  <c r="BJ17" i="2"/>
  <c r="GW17" i="2"/>
  <c r="DR17" i="2"/>
  <c r="BD17" i="2"/>
  <c r="HT17" i="2"/>
  <c r="GO17" i="2"/>
  <c r="CR27" i="2"/>
  <c r="FT17" i="2"/>
  <c r="DN17" i="2"/>
  <c r="HC17" i="2"/>
  <c r="AF19" i="2"/>
  <c r="HX17" i="2"/>
  <c r="DF17" i="2"/>
  <c r="FW17" i="2"/>
  <c r="GK17" i="2"/>
  <c r="DW17" i="2"/>
  <c r="BX17" i="2"/>
  <c r="GC17" i="2"/>
  <c r="DO17" i="2"/>
  <c r="BP17" i="2"/>
  <c r="DI17" i="2"/>
  <c r="AU17" i="2"/>
  <c r="GG17" i="2"/>
  <c r="CS19" i="2"/>
  <c r="AE17" i="2"/>
  <c r="K17" i="2"/>
  <c r="AO17" i="2"/>
  <c r="GX17" i="2"/>
  <c r="DS17" i="2"/>
  <c r="GJ17" i="2"/>
  <c r="FT19" i="2"/>
  <c r="HL47" i="2"/>
  <c r="GA47" i="2"/>
  <c r="FX47" i="2"/>
  <c r="GW36" i="2"/>
  <c r="BR39" i="2"/>
  <c r="FO44" i="2"/>
  <c r="FT32" i="2"/>
  <c r="FO47" i="2"/>
  <c r="GD47" i="2"/>
  <c r="DM12" i="2"/>
  <c r="FP44" i="2"/>
  <c r="Q40" i="2"/>
  <c r="DZ32" i="2"/>
  <c r="GE47" i="2"/>
  <c r="HJ47" i="2"/>
  <c r="DI21" i="2"/>
  <c r="EJ21" i="2"/>
  <c r="GU21" i="2"/>
  <c r="GF47" i="2"/>
  <c r="DU47" i="2"/>
  <c r="FW47" i="2"/>
  <c r="FU47" i="2"/>
  <c r="GG47" i="2"/>
  <c r="T21" i="2"/>
  <c r="FI21" i="2"/>
  <c r="FN44" i="2"/>
  <c r="CZ27" i="2"/>
  <c r="AW13" i="2"/>
  <c r="BY43" i="2"/>
  <c r="DT41" i="2"/>
  <c r="EL40" i="2"/>
  <c r="CQ26" i="2"/>
  <c r="HS24" i="2"/>
  <c r="CV47" i="2"/>
  <c r="BQ47" i="2"/>
  <c r="GU38" i="2"/>
  <c r="DT46" i="2"/>
  <c r="CO22" i="2"/>
  <c r="CS17" i="2"/>
  <c r="DD17" i="2"/>
  <c r="GA12" i="2"/>
  <c r="AA46" i="2"/>
  <c r="FK46" i="2"/>
  <c r="DB27" i="2"/>
  <c r="BH41" i="2"/>
  <c r="BT34" i="2"/>
  <c r="CE47" i="2"/>
  <c r="GS46" i="2"/>
  <c r="GG22" i="2"/>
  <c r="CS27" i="2"/>
  <c r="EP41" i="2"/>
  <c r="Z40" i="2"/>
  <c r="FG47" i="2"/>
  <c r="CS46" i="2"/>
  <c r="HO17" i="2"/>
  <c r="FQ44" i="2"/>
  <c r="DC27" i="2"/>
  <c r="AD43" i="2"/>
  <c r="HO39" i="2"/>
  <c r="HH54" i="2"/>
  <c r="HC47" i="2"/>
  <c r="AP47" i="2"/>
  <c r="V47" i="2"/>
  <c r="CC23" i="2"/>
  <c r="R46" i="2"/>
  <c r="BW22" i="2"/>
  <c r="DY22" i="2"/>
  <c r="CQ17" i="2"/>
  <c r="EQ12" i="2"/>
  <c r="CU27" i="2"/>
  <c r="BS41" i="2"/>
  <c r="GO49" i="2"/>
  <c r="CP26" i="2"/>
  <c r="GC48" i="2"/>
  <c r="BO47" i="2"/>
  <c r="BN47" i="2"/>
  <c r="HF47" i="2"/>
  <c r="HJ46" i="2"/>
  <c r="AQ22" i="2"/>
  <c r="GP17" i="2"/>
  <c r="CB41" i="2"/>
  <c r="FO46" i="2"/>
  <c r="DE46" i="2"/>
  <c r="AR22" i="2"/>
  <c r="L12" i="2"/>
  <c r="CJ43" i="2"/>
  <c r="HS43" i="2"/>
  <c r="EB41" i="2"/>
  <c r="HB39" i="2"/>
  <c r="EC34" i="2"/>
  <c r="GF48" i="2"/>
  <c r="FW45" i="2"/>
  <c r="EQ32" i="2"/>
  <c r="GX54" i="2"/>
  <c r="BO46" i="2"/>
  <c r="BX46" i="2"/>
  <c r="FA46" i="2"/>
  <c r="CW42" i="2"/>
  <c r="HE22" i="2"/>
  <c r="EL22" i="2"/>
  <c r="GS11" i="2"/>
  <c r="X11" i="2"/>
  <c r="CA43" i="2"/>
  <c r="EC43" i="2"/>
  <c r="DC43" i="2"/>
  <c r="GD48" i="2"/>
  <c r="FQ45" i="2"/>
  <c r="FA38" i="2"/>
  <c r="EA46" i="2"/>
  <c r="GV46" i="2"/>
  <c r="FQ46" i="2"/>
  <c r="FI42" i="2"/>
  <c r="Z11" i="2"/>
  <c r="CD37" i="2"/>
  <c r="EM43" i="2"/>
  <c r="HM43" i="2"/>
  <c r="N34" i="2"/>
  <c r="DW38" i="2"/>
  <c r="DJ11" i="2"/>
  <c r="P43" i="2"/>
  <c r="U43" i="2"/>
  <c r="BB41" i="2"/>
  <c r="EN39" i="2"/>
  <c r="AH8" i="2"/>
  <c r="BM32" i="2"/>
  <c r="GM38" i="2"/>
  <c r="CL23" i="2"/>
  <c r="CC46" i="2"/>
  <c r="BP46" i="2"/>
  <c r="DZ46" i="2"/>
  <c r="BB46" i="2"/>
  <c r="FA42" i="2"/>
  <c r="CN22" i="2"/>
  <c r="EQ11" i="2"/>
  <c r="GL11" i="2"/>
  <c r="GK12" i="2"/>
  <c r="O13" i="2"/>
  <c r="GY43" i="2"/>
  <c r="DW43" i="2"/>
  <c r="FE39" i="2"/>
  <c r="AB8" i="2"/>
  <c r="FY48" i="2"/>
  <c r="HT32" i="2"/>
  <c r="DL30" i="2"/>
  <c r="AP15" i="2"/>
  <c r="AJ46" i="2"/>
  <c r="AY46" i="2"/>
  <c r="HB46" i="2"/>
  <c r="BZ46" i="2"/>
  <c r="FC42" i="2"/>
  <c r="DD22" i="2"/>
  <c r="AE22" i="2"/>
  <c r="BE11" i="2"/>
  <c r="DD11" i="2"/>
  <c r="BB37" i="2"/>
  <c r="BV43" i="2"/>
  <c r="CR43" i="2"/>
  <c r="CI43" i="2"/>
  <c r="DV43" i="2"/>
  <c r="FI38" i="2"/>
  <c r="DS11" i="2"/>
  <c r="HL11" i="2"/>
  <c r="FH12" i="2"/>
  <c r="AM43" i="2"/>
  <c r="DX43" i="2"/>
  <c r="CC43" i="2"/>
  <c r="HL51" i="2"/>
  <c r="EQ41" i="2"/>
  <c r="L39" i="2"/>
  <c r="DC32" i="2"/>
  <c r="AS32" i="2"/>
  <c r="FY47" i="2"/>
  <c r="FJ38" i="2"/>
  <c r="S46" i="2"/>
  <c r="HL46" i="2"/>
  <c r="BA46" i="2"/>
  <c r="FJ42" i="2"/>
  <c r="BY22" i="2"/>
  <c r="GS22" i="2"/>
  <c r="BM11" i="2"/>
  <c r="GJ11" i="2"/>
  <c r="GM17" i="2"/>
  <c r="AP19" i="2"/>
  <c r="GQ19" i="2"/>
  <c r="CF19" i="2"/>
  <c r="HE19" i="2"/>
  <c r="S44" i="2"/>
  <c r="AH19" i="2"/>
  <c r="GI19" i="2"/>
  <c r="EJ19" i="2"/>
  <c r="EN43" i="2"/>
  <c r="BL43" i="2"/>
  <c r="HL43" i="2"/>
  <c r="FN43" i="2"/>
  <c r="FQ41" i="2"/>
  <c r="DG41" i="2"/>
  <c r="EK41" i="2"/>
  <c r="BY7" i="2"/>
  <c r="BC40" i="2"/>
  <c r="GA39" i="2"/>
  <c r="U39" i="2"/>
  <c r="BC34" i="2"/>
  <c r="AI8" i="2"/>
  <c r="EM24" i="2"/>
  <c r="FN45" i="2"/>
  <c r="HR32" i="2"/>
  <c r="GD32" i="2"/>
  <c r="AG19" i="2"/>
  <c r="GP19" i="2"/>
  <c r="EI19" i="2"/>
  <c r="AC9" i="2"/>
  <c r="GW54" i="2"/>
  <c r="GY54" i="2"/>
  <c r="DK47" i="2"/>
  <c r="GC47" i="2"/>
  <c r="M47" i="2"/>
  <c r="DF47" i="2"/>
  <c r="V38" i="2"/>
  <c r="BZ38" i="2"/>
  <c r="DP30" i="2"/>
  <c r="DK11" i="2"/>
  <c r="HI11" i="2"/>
  <c r="GV11" i="2"/>
  <c r="AF37" i="2"/>
  <c r="EK37" i="2"/>
  <c r="BB14" i="2"/>
  <c r="FK19" i="2"/>
  <c r="GT19" i="2"/>
  <c r="AU19" i="2"/>
  <c r="FW19" i="2"/>
  <c r="FI14" i="2"/>
  <c r="P19" i="2"/>
  <c r="EA19" i="2"/>
  <c r="FI19" i="2"/>
  <c r="CI14" i="2"/>
  <c r="CK19" i="2"/>
  <c r="GN19" i="2"/>
  <c r="BK14" i="2"/>
  <c r="GR19" i="2"/>
  <c r="DD19" i="2"/>
  <c r="HK14" i="2"/>
  <c r="L19" i="2"/>
  <c r="GW19" i="2"/>
  <c r="FO14" i="2"/>
  <c r="BD19" i="2"/>
  <c r="U19" i="2"/>
  <c r="HB19" i="2"/>
  <c r="FM24" i="2"/>
  <c r="GJ19" i="2"/>
  <c r="ED19" i="2"/>
  <c r="K19" i="2"/>
  <c r="BC19" i="2"/>
  <c r="CL19" i="2"/>
  <c r="GH19" i="2"/>
  <c r="CG19" i="2"/>
  <c r="EM19" i="2"/>
  <c r="AS19" i="2"/>
  <c r="GZ19" i="2"/>
  <c r="DL19" i="2"/>
  <c r="CJ19" i="2"/>
  <c r="AJ19" i="2"/>
  <c r="GA19" i="2"/>
  <c r="AY19" i="2"/>
  <c r="FS19" i="2"/>
  <c r="HK19" i="2"/>
  <c r="HS19" i="2"/>
  <c r="Y36" i="2"/>
  <c r="BI19" i="2"/>
  <c r="DY19" i="2"/>
  <c r="BK19" i="2"/>
  <c r="BM34" i="2"/>
  <c r="DJ24" i="2"/>
  <c r="CS32" i="2"/>
  <c r="GO32" i="2"/>
  <c r="GL19" i="2"/>
  <c r="DX19" i="2"/>
  <c r="AQ19" i="2"/>
  <c r="AL9" i="2"/>
  <c r="FX38" i="2"/>
  <c r="CV15" i="2"/>
  <c r="BI11" i="2"/>
  <c r="EM37" i="2"/>
  <c r="DJ19" i="2"/>
  <c r="GX19" i="2"/>
  <c r="CW19" i="2"/>
  <c r="GB14" i="2"/>
  <c r="HI19" i="2"/>
  <c r="CH19" i="2"/>
  <c r="FA19" i="2"/>
  <c r="GD19" i="2"/>
  <c r="AM19" i="2"/>
  <c r="HC19" i="2"/>
  <c r="EW14" i="2"/>
  <c r="DH19" i="2"/>
  <c r="AR19" i="2"/>
  <c r="GO19" i="2"/>
  <c r="BU14" i="2"/>
  <c r="HG19" i="2"/>
  <c r="GM19" i="2"/>
  <c r="HU19" i="2"/>
  <c r="EQ14" i="2"/>
  <c r="CI19" i="2"/>
  <c r="GE19" i="2"/>
  <c r="HJ19" i="2"/>
  <c r="CO19" i="2"/>
  <c r="S19" i="2"/>
  <c r="FX19" i="2"/>
  <c r="CV19" i="2"/>
  <c r="EG19" i="2"/>
  <c r="FR19" i="2"/>
  <c r="EK19" i="2"/>
  <c r="DE12" i="2"/>
  <c r="BO44" i="2"/>
  <c r="HV19" i="2"/>
  <c r="AP13" i="2"/>
  <c r="FZ43" i="2"/>
  <c r="HC43" i="2"/>
  <c r="DS31" i="2"/>
  <c r="CO41" i="2"/>
  <c r="FA41" i="2"/>
  <c r="FE41" i="2"/>
  <c r="GC49" i="2"/>
  <c r="BJ39" i="2"/>
  <c r="AY39" i="2"/>
  <c r="GM34" i="2"/>
  <c r="CJ24" i="2"/>
  <c r="DB28" i="2"/>
  <c r="K32" i="2"/>
  <c r="W32" i="2"/>
  <c r="FU32" i="2"/>
  <c r="GX32" i="2"/>
  <c r="DZ19" i="2"/>
  <c r="DC19" i="2"/>
  <c r="AA9" i="2"/>
  <c r="HJ54" i="2"/>
  <c r="FP47" i="2"/>
  <c r="BW47" i="2"/>
  <c r="DR47" i="2"/>
  <c r="FK38" i="2"/>
  <c r="FL38" i="2"/>
  <c r="FY11" i="2"/>
  <c r="CW37" i="2"/>
  <c r="HY19" i="2"/>
  <c r="CP19" i="2"/>
  <c r="DK19" i="2"/>
  <c r="EU14" i="2"/>
  <c r="DI19" i="2"/>
  <c r="HT19" i="2"/>
  <c r="HJ14" i="2"/>
  <c r="CD19" i="2"/>
  <c r="FZ19" i="2"/>
  <c r="DM19" i="2"/>
  <c r="DM14" i="2"/>
  <c r="HW19" i="2"/>
  <c r="FG19" i="2"/>
  <c r="ES19" i="2"/>
  <c r="AK14" i="2"/>
  <c r="DG19" i="2"/>
  <c r="DE19" i="2"/>
  <c r="EH19" i="2"/>
  <c r="HN19" i="2"/>
  <c r="AC19" i="2"/>
  <c r="DR19" i="2"/>
  <c r="HF19" i="2"/>
  <c r="CY19" i="2"/>
  <c r="HX19" i="2"/>
  <c r="DF19" i="2"/>
  <c r="FB52" i="2"/>
  <c r="CK44" i="2"/>
  <c r="AM36" i="2"/>
  <c r="HP19" i="2"/>
  <c r="FJ19" i="2"/>
  <c r="AR13" i="2"/>
  <c r="HQ43" i="2"/>
  <c r="CV43" i="2"/>
  <c r="AG51" i="2"/>
  <c r="DM41" i="2"/>
  <c r="AW41" i="2"/>
  <c r="HI41" i="2"/>
  <c r="GE49" i="2"/>
  <c r="AB40" i="2"/>
  <c r="BK39" i="2"/>
  <c r="GD34" i="2"/>
  <c r="FI24" i="2"/>
  <c r="AK24" i="2"/>
  <c r="DH28" i="2"/>
  <c r="CM32" i="2"/>
  <c r="BS32" i="2"/>
  <c r="AJ32" i="2"/>
  <c r="CP32" i="2"/>
  <c r="HO19" i="2"/>
  <c r="FO19" i="2"/>
  <c r="AG9" i="2"/>
  <c r="X9" i="2"/>
  <c r="HA47" i="2"/>
  <c r="GM47" i="2"/>
  <c r="FN47" i="2"/>
  <c r="DH47" i="2"/>
  <c r="BU38" i="2"/>
  <c r="AP29" i="2"/>
  <c r="FI37" i="2"/>
  <c r="HP14" i="2"/>
  <c r="DQ19" i="2"/>
  <c r="EZ19" i="2"/>
  <c r="BA19" i="2"/>
  <c r="FH14" i="2"/>
  <c r="Q19" i="2"/>
  <c r="EB19" i="2"/>
  <c r="FD14" i="2"/>
  <c r="HA19" i="2"/>
  <c r="BG19" i="2"/>
  <c r="BJ14" i="2"/>
  <c r="DO19" i="2"/>
  <c r="CM19" i="2"/>
  <c r="EX19" i="2"/>
  <c r="O19" i="2"/>
  <c r="FY19" i="2"/>
  <c r="Z19" i="2"/>
  <c r="DV19" i="2"/>
  <c r="AX19" i="2"/>
  <c r="R19" i="2"/>
  <c r="DN19" i="2"/>
  <c r="FM19" i="2"/>
  <c r="HZ19" i="2"/>
  <c r="FL19" i="2"/>
  <c r="AT19" i="2"/>
  <c r="HJ44" i="2"/>
  <c r="DX36" i="2"/>
  <c r="HR19" i="2"/>
  <c r="FD19" i="2"/>
  <c r="CX19" i="2"/>
  <c r="FZ41" i="2"/>
  <c r="DA41" i="2"/>
  <c r="GE41" i="2"/>
  <c r="DL40" i="2"/>
  <c r="GK34" i="2"/>
  <c r="HP24" i="2"/>
  <c r="DK28" i="2"/>
  <c r="BK32" i="2"/>
  <c r="HG32" i="2"/>
  <c r="BH32" i="2"/>
  <c r="GP32" i="2"/>
  <c r="HQ19" i="2"/>
  <c r="FC19" i="2"/>
  <c r="GU19" i="2"/>
  <c r="AI9" i="2"/>
  <c r="AF9" i="2"/>
  <c r="HB54" i="2"/>
  <c r="HD47" i="2"/>
  <c r="DI47" i="2"/>
  <c r="GU47" i="2"/>
  <c r="FV47" i="2"/>
  <c r="GO47" i="2"/>
  <c r="EU38" i="2"/>
  <c r="HV38" i="2"/>
  <c r="BV38" i="2"/>
  <c r="DA29" i="2"/>
  <c r="BG46" i="2"/>
  <c r="CM46" i="2"/>
  <c r="Z46" i="2"/>
  <c r="EF46" i="2"/>
  <c r="AB22" i="2"/>
  <c r="FD22" i="2"/>
  <c r="DY11" i="2"/>
  <c r="GT11" i="2"/>
  <c r="AD11" i="2"/>
  <c r="BH37" i="2"/>
  <c r="GI14" i="2"/>
  <c r="Y19" i="2"/>
  <c r="DU19" i="2"/>
  <c r="AQ14" i="2"/>
  <c r="EF19" i="2"/>
  <c r="BH19" i="2"/>
  <c r="DW14" i="2"/>
  <c r="DA19" i="2"/>
  <c r="HL19" i="2"/>
  <c r="GG19" i="2"/>
  <c r="FV19" i="2"/>
  <c r="W19" i="2"/>
  <c r="HM19" i="2"/>
  <c r="BF19" i="2"/>
  <c r="ET19" i="2"/>
  <c r="DS19" i="2"/>
  <c r="EW19" i="2"/>
  <c r="V19" i="2"/>
  <c r="AX14" i="2"/>
  <c r="EO19" i="2"/>
  <c r="N19" i="2"/>
  <c r="AD19" i="2"/>
  <c r="FQ19" i="2"/>
  <c r="EL19" i="2"/>
  <c r="FN19" i="2"/>
  <c r="CZ19" i="2"/>
  <c r="HD19" i="2"/>
  <c r="EI12" i="2"/>
  <c r="EQ19" i="2"/>
  <c r="EI52" i="2"/>
  <c r="AX36" i="2"/>
  <c r="FF19" i="2"/>
  <c r="CR19" i="2"/>
  <c r="AL19" i="2"/>
  <c r="CG43" i="2"/>
  <c r="EE43" i="2"/>
  <c r="GC43" i="2"/>
  <c r="DW41" i="2"/>
  <c r="FT41" i="2"/>
  <c r="GW40" i="2"/>
  <c r="AS34" i="2"/>
  <c r="GX24" i="2"/>
  <c r="DL28" i="2"/>
  <c r="GY32" i="2"/>
  <c r="GB32" i="2"/>
  <c r="EJ32" i="2"/>
  <c r="FE19" i="2"/>
  <c r="CQ19" i="2"/>
  <c r="Z9" i="2"/>
  <c r="HD54" i="2"/>
  <c r="BG47" i="2"/>
  <c r="CU47" i="2"/>
  <c r="W38" i="2"/>
  <c r="GH38" i="2"/>
  <c r="HB38" i="2"/>
  <c r="AI11" i="2"/>
  <c r="AR11" i="2"/>
  <c r="GF14" i="2"/>
  <c r="EN19" i="2"/>
  <c r="M14" i="2"/>
  <c r="X19" i="2"/>
  <c r="CU19" i="2"/>
  <c r="EC19" i="2"/>
  <c r="DT14" i="2"/>
  <c r="HH19" i="2"/>
  <c r="DT19" i="2"/>
  <c r="GB19" i="2"/>
  <c r="FV14" i="2"/>
  <c r="FB19" i="2"/>
  <c r="BE19" i="2"/>
  <c r="EX14" i="2"/>
  <c r="FU19" i="2"/>
  <c r="BB19" i="2"/>
  <c r="EP19" i="2"/>
  <c r="CL14" i="2"/>
  <c r="AW19" i="2"/>
  <c r="FP19" i="2"/>
  <c r="HG14" i="2"/>
  <c r="AO19" i="2"/>
  <c r="FH19" i="2"/>
  <c r="AK19" i="2"/>
  <c r="AB19" i="2"/>
  <c r="CF52" i="2"/>
  <c r="M43" i="2"/>
  <c r="BI43" i="2"/>
  <c r="DP43" i="2"/>
  <c r="W43" i="2"/>
  <c r="BQ43" i="2"/>
  <c r="DM43" i="2"/>
  <c r="DN43" i="2"/>
  <c r="GJ43" i="2"/>
  <c r="FU43" i="2"/>
  <c r="DB43" i="2"/>
  <c r="CU43" i="2"/>
  <c r="CN43" i="2"/>
  <c r="DU31" i="2"/>
  <c r="R6" i="2"/>
  <c r="CA51" i="2"/>
  <c r="FO41" i="2"/>
  <c r="GI41" i="2"/>
  <c r="AU41" i="2"/>
  <c r="ER41" i="2"/>
  <c r="CD41" i="2"/>
  <c r="GT41" i="2"/>
  <c r="AW7" i="2"/>
  <c r="DQ40" i="2"/>
  <c r="FC39" i="2"/>
  <c r="AB39" i="2"/>
  <c r="DX39" i="2"/>
  <c r="HR39" i="2"/>
  <c r="FP34" i="2"/>
  <c r="AK34" i="2"/>
  <c r="FV34" i="2"/>
  <c r="CW26" i="2"/>
  <c r="GK48" i="2"/>
  <c r="AU24" i="2"/>
  <c r="EQ24" i="2"/>
  <c r="DC28" i="2"/>
  <c r="DF28" i="2"/>
  <c r="BL32" i="2"/>
  <c r="FC32" i="2"/>
  <c r="DK32" i="2"/>
  <c r="GQ32" i="2"/>
  <c r="EX32" i="2"/>
  <c r="FE32" i="2"/>
  <c r="DT32" i="2"/>
  <c r="DE32" i="2"/>
  <c r="BR32" i="2"/>
  <c r="HG54" i="2"/>
  <c r="FZ47" i="2"/>
  <c r="HP47" i="2"/>
  <c r="CG38" i="2"/>
  <c r="BH38" i="2"/>
  <c r="CQ38" i="2"/>
  <c r="DX38" i="2"/>
  <c r="HQ38" i="2"/>
  <c r="EY38" i="2"/>
  <c r="DS30" i="2"/>
  <c r="CP23" i="2"/>
  <c r="EQ15" i="2"/>
  <c r="DH15" i="2"/>
  <c r="CZ29" i="2"/>
  <c r="HE29" i="2"/>
  <c r="FW55" i="2"/>
  <c r="AR55" i="2"/>
  <c r="BI42" i="2"/>
  <c r="HJ22" i="2"/>
  <c r="AY11" i="2"/>
  <c r="HK11" i="2"/>
  <c r="EW11" i="2"/>
  <c r="FV11" i="2"/>
  <c r="ER11" i="2"/>
  <c r="FQ11" i="2"/>
  <c r="DO11" i="2"/>
  <c r="HO37" i="2"/>
  <c r="FK37" i="2"/>
  <c r="FB37" i="2"/>
  <c r="AW14" i="2"/>
  <c r="GJ50" i="2"/>
  <c r="DN31" i="2"/>
  <c r="Z6" i="2"/>
  <c r="DQ15" i="2"/>
  <c r="GZ55" i="2"/>
  <c r="CH42" i="2"/>
  <c r="CG37" i="2"/>
  <c r="EB37" i="2"/>
  <c r="FO12" i="2"/>
  <c r="FX12" i="2"/>
  <c r="EF12" i="2"/>
  <c r="CA52" i="2"/>
  <c r="IA52" i="2"/>
  <c r="X44" i="2"/>
  <c r="HY13" i="2"/>
  <c r="GK50" i="2"/>
  <c r="FJ43" i="2"/>
  <c r="AO43" i="2"/>
  <c r="HR43" i="2"/>
  <c r="FV43" i="2"/>
  <c r="EI43" i="2"/>
  <c r="ER43" i="2"/>
  <c r="DR31" i="2"/>
  <c r="L6" i="2"/>
  <c r="S40" i="2"/>
  <c r="HL39" i="2"/>
  <c r="CK39" i="2"/>
  <c r="EI39" i="2"/>
  <c r="FA34" i="2"/>
  <c r="HO24" i="2"/>
  <c r="CN24" i="2"/>
  <c r="CV28" i="2"/>
  <c r="CY28" i="2"/>
  <c r="EI32" i="2"/>
  <c r="AH32" i="2"/>
  <c r="GM32" i="2"/>
  <c r="BD32" i="2"/>
  <c r="HJ32" i="2"/>
  <c r="GS32" i="2"/>
  <c r="FH32" i="2"/>
  <c r="EC32" i="2"/>
  <c r="EL32" i="2"/>
  <c r="AC38" i="2"/>
  <c r="AZ38" i="2"/>
  <c r="FT38" i="2"/>
  <c r="EH38" i="2"/>
  <c r="DI30" i="2"/>
  <c r="DE30" i="2"/>
  <c r="DE15" i="2"/>
  <c r="CL15" i="2"/>
  <c r="BW29" i="2"/>
  <c r="DF29" i="2"/>
  <c r="R55" i="2"/>
  <c r="HL55" i="2"/>
  <c r="EU42" i="2"/>
  <c r="EV11" i="2"/>
  <c r="DD37" i="2"/>
  <c r="FO37" i="2"/>
  <c r="HM37" i="2"/>
  <c r="W14" i="2"/>
  <c r="DK12" i="2"/>
  <c r="DB52" i="2"/>
  <c r="EB44" i="2"/>
  <c r="EF36" i="2"/>
  <c r="GO50" i="2"/>
  <c r="AF43" i="2"/>
  <c r="FK43" i="2"/>
  <c r="BK43" i="2"/>
  <c r="DE43" i="2"/>
  <c r="FA43" i="2"/>
  <c r="V43" i="2"/>
  <c r="FR43" i="2"/>
  <c r="BU43" i="2"/>
  <c r="IA43" i="2"/>
  <c r="HJ43" i="2"/>
  <c r="FW43" i="2"/>
  <c r="FH43" i="2"/>
  <c r="M6" i="2"/>
  <c r="AE51" i="2"/>
  <c r="FF41" i="2"/>
  <c r="CW41" i="2"/>
  <c r="DX41" i="2"/>
  <c r="CS41" i="2"/>
  <c r="FC41" i="2"/>
  <c r="HQ41" i="2"/>
  <c r="EV7" i="2"/>
  <c r="DO40" i="2"/>
  <c r="M40" i="2"/>
  <c r="DC40" i="2"/>
  <c r="CF39" i="2"/>
  <c r="M39" i="2"/>
  <c r="DI39" i="2"/>
  <c r="EQ39" i="2"/>
  <c r="CU34" i="2"/>
  <c r="DR34" i="2"/>
  <c r="FZ34" i="2"/>
  <c r="AF24" i="2"/>
  <c r="CK24" i="2"/>
  <c r="FH24" i="2"/>
  <c r="DD28" i="2"/>
  <c r="FD32" i="2"/>
  <c r="GZ32" i="2"/>
  <c r="CT32" i="2"/>
  <c r="CZ32" i="2"/>
  <c r="Y32" i="2"/>
  <c r="HI32" i="2"/>
  <c r="GF32" i="2"/>
  <c r="FA32" i="2"/>
  <c r="FZ32" i="2"/>
  <c r="CL47" i="2"/>
  <c r="U47" i="2"/>
  <c r="CA47" i="2"/>
  <c r="ES38" i="2"/>
  <c r="EC38" i="2"/>
  <c r="CO38" i="2"/>
  <c r="ER38" i="2"/>
  <c r="Q38" i="2"/>
  <c r="EP38" i="2"/>
  <c r="DH30" i="2"/>
  <c r="DM30" i="2"/>
  <c r="CS23" i="2"/>
  <c r="CO15" i="2"/>
  <c r="DB29" i="2"/>
  <c r="DK29" i="2"/>
  <c r="HF29" i="2"/>
  <c r="FV55" i="2"/>
  <c r="HM55" i="2"/>
  <c r="GY46" i="2"/>
  <c r="EE42" i="2"/>
  <c r="HV42" i="2"/>
  <c r="HC22" i="2"/>
  <c r="GU11" i="2"/>
  <c r="FE11" i="2"/>
  <c r="R11" i="2"/>
  <c r="AB11" i="2"/>
  <c r="HT11" i="2"/>
  <c r="V11" i="2"/>
  <c r="GO37" i="2"/>
  <c r="BK37" i="2"/>
  <c r="GL37" i="2"/>
  <c r="DX37" i="2"/>
  <c r="DD29" i="2"/>
  <c r="GZ29" i="2"/>
  <c r="GF55" i="2"/>
  <c r="HV55" i="2"/>
  <c r="AX42" i="2"/>
  <c r="BS37" i="2"/>
  <c r="AS37" i="2"/>
  <c r="DA37" i="2"/>
  <c r="BF12" i="2"/>
  <c r="DX12" i="2"/>
  <c r="GO52" i="2"/>
  <c r="EQ44" i="2"/>
  <c r="FA44" i="2"/>
  <c r="FD13" i="2"/>
  <c r="GH50" i="2"/>
  <c r="CY43" i="2"/>
  <c r="BD43" i="2"/>
  <c r="CZ43" i="2"/>
  <c r="GA43" i="2"/>
  <c r="FC43" i="2"/>
  <c r="AL43" i="2"/>
  <c r="FD43" i="2"/>
  <c r="CS43" i="2"/>
  <c r="CD43" i="2"/>
  <c r="K43" i="2"/>
  <c r="HT43" i="2"/>
  <c r="HU43" i="2"/>
  <c r="DJ31" i="2"/>
  <c r="CD51" i="2"/>
  <c r="BZ41" i="2"/>
  <c r="FP41" i="2"/>
  <c r="BT41" i="2"/>
  <c r="EA41" i="2"/>
  <c r="CU41" i="2"/>
  <c r="IA41" i="2"/>
  <c r="ER40" i="2"/>
  <c r="HW40" i="2"/>
  <c r="N39" i="2"/>
  <c r="CH39" i="2"/>
  <c r="GG39" i="2"/>
  <c r="Z39" i="2"/>
  <c r="CD34" i="2"/>
  <c r="GI34" i="2"/>
  <c r="CG34" i="2"/>
  <c r="EL34" i="2"/>
  <c r="CS26" i="2"/>
  <c r="AT24" i="2"/>
  <c r="AP24" i="2"/>
  <c r="DM24" i="2"/>
  <c r="DI28" i="2"/>
  <c r="AV32" i="2"/>
  <c r="HK32" i="2"/>
  <c r="GL32" i="2"/>
  <c r="AM32" i="2"/>
  <c r="GR32" i="2"/>
  <c r="BU32" i="2"/>
  <c r="AR32" i="2"/>
  <c r="M32" i="2"/>
  <c r="GW32" i="2"/>
  <c r="FF47" i="2"/>
  <c r="CO47" i="2"/>
  <c r="AT47" i="2"/>
  <c r="GY47" i="2"/>
  <c r="CX38" i="2"/>
  <c r="AT38" i="2"/>
  <c r="HM38" i="2"/>
  <c r="CC38" i="2"/>
  <c r="AQ38" i="2"/>
  <c r="DQ30" i="2"/>
  <c r="GP15" i="2"/>
  <c r="DH29" i="2"/>
  <c r="EZ29" i="2"/>
  <c r="GR55" i="2"/>
  <c r="AZ55" i="2"/>
  <c r="BR46" i="2"/>
  <c r="GY42" i="2"/>
  <c r="BG42" i="2"/>
  <c r="DQ11" i="2"/>
  <c r="CU11" i="2"/>
  <c r="CD11" i="2"/>
  <c r="AZ11" i="2"/>
  <c r="BY11" i="2"/>
  <c r="EL11" i="2"/>
  <c r="GG37" i="2"/>
  <c r="CT37" i="2"/>
  <c r="AN37" i="2"/>
  <c r="CU14" i="2"/>
  <c r="BV12" i="2"/>
  <c r="BB12" i="2"/>
  <c r="CK52" i="2"/>
  <c r="BA43" i="2"/>
  <c r="AT43" i="2"/>
  <c r="FL43" i="2"/>
  <c r="DA43" i="2"/>
  <c r="CL43" i="2"/>
  <c r="BW43" i="2"/>
  <c r="L43" i="2"/>
  <c r="DZ31" i="2"/>
  <c r="S6" i="2"/>
  <c r="EZ51" i="2"/>
  <c r="IA51" i="2"/>
  <c r="DH40" i="2"/>
  <c r="HE39" i="2"/>
  <c r="AH39" i="2"/>
  <c r="W34" i="2"/>
  <c r="FB34" i="2"/>
  <c r="CU26" i="2"/>
  <c r="DM28" i="2"/>
  <c r="AV38" i="2"/>
  <c r="EW38" i="2"/>
  <c r="AY38" i="2"/>
  <c r="DR30" i="2"/>
  <c r="DO30" i="2"/>
  <c r="HQ29" i="2"/>
  <c r="DE29" i="2"/>
  <c r="CB55" i="2"/>
  <c r="HU55" i="2"/>
  <c r="CY55" i="2"/>
  <c r="HX42" i="2"/>
  <c r="O42" i="2"/>
  <c r="CF42" i="2"/>
  <c r="CG11" i="2"/>
  <c r="HV11" i="2"/>
  <c r="Q37" i="2"/>
  <c r="HB37" i="2"/>
  <c r="GW37" i="2"/>
  <c r="HZ14" i="2"/>
  <c r="AJ14" i="2"/>
  <c r="DS12" i="2"/>
  <c r="HZ12" i="2"/>
  <c r="HN12" i="2"/>
  <c r="HD52" i="2"/>
  <c r="W44" i="2"/>
  <c r="BH44" i="2"/>
  <c r="GF36" i="2"/>
  <c r="AH13" i="2"/>
  <c r="GV50" i="2"/>
  <c r="EK43" i="2"/>
  <c r="CW43" i="2"/>
  <c r="ES43" i="2"/>
  <c r="AU43" i="2"/>
  <c r="CQ43" i="2"/>
  <c r="BB43" i="2"/>
  <c r="FT43" i="2"/>
  <c r="FM43" i="2"/>
  <c r="CT43" i="2"/>
  <c r="CE43" i="2"/>
  <c r="T43" i="2"/>
  <c r="DT31" i="2"/>
  <c r="Y6" i="2"/>
  <c r="EV41" i="2"/>
  <c r="CR41" i="2"/>
  <c r="BN41" i="2"/>
  <c r="FX41" i="2"/>
  <c r="CI40" i="2"/>
  <c r="FL40" i="2"/>
  <c r="DO39" i="2"/>
  <c r="AV39" i="2"/>
  <c r="AJ34" i="2"/>
  <c r="BS34" i="2"/>
  <c r="AX34" i="2"/>
  <c r="DC26" i="2"/>
  <c r="BG24" i="2"/>
  <c r="CZ28" i="2"/>
  <c r="CX28" i="2"/>
  <c r="BG32" i="2"/>
  <c r="DW32" i="2"/>
  <c r="BO32" i="2"/>
  <c r="EE32" i="2"/>
  <c r="BV32" i="2"/>
  <c r="DY32" i="2"/>
  <c r="CN32" i="2"/>
  <c r="BI32" i="2"/>
  <c r="AD32" i="2"/>
  <c r="FA47" i="2"/>
  <c r="FB47" i="2"/>
  <c r="GB47" i="2"/>
  <c r="BQ38" i="2"/>
  <c r="GA38" i="2"/>
  <c r="HG38" i="2"/>
  <c r="BL38" i="2"/>
  <c r="HI38" i="2"/>
  <c r="EA38" i="2"/>
  <c r="FO15" i="2"/>
  <c r="FK15" i="2"/>
  <c r="EN29" i="2"/>
  <c r="DS55" i="2"/>
  <c r="L55" i="2"/>
  <c r="FK55" i="2"/>
  <c r="DN46" i="2"/>
  <c r="FD42" i="2"/>
  <c r="CQ22" i="2"/>
  <c r="GE11" i="2"/>
  <c r="Y11" i="2"/>
  <c r="DR11" i="2"/>
  <c r="EJ11" i="2"/>
  <c r="EK11" i="2"/>
  <c r="AW37" i="2"/>
  <c r="BW37" i="2"/>
  <c r="GJ37" i="2"/>
  <c r="BD14" i="2"/>
  <c r="AA14" i="2"/>
  <c r="GM12" i="2"/>
  <c r="GU12" i="2"/>
  <c r="FW12" i="2"/>
  <c r="CL12" i="2"/>
  <c r="T12" i="2"/>
  <c r="GF12" i="2"/>
  <c r="EC12" i="2"/>
  <c r="BJ12" i="2"/>
  <c r="GQ12" i="2"/>
  <c r="GJ12" i="2"/>
  <c r="DT52" i="2"/>
  <c r="FV52" i="2"/>
  <c r="CL52" i="2"/>
  <c r="DN44" i="2"/>
  <c r="IA44" i="2"/>
  <c r="BC44" i="2"/>
  <c r="CU44" i="2"/>
  <c r="BS44" i="2"/>
  <c r="AF44" i="2"/>
  <c r="FX36" i="2"/>
  <c r="BT36" i="2"/>
  <c r="BC36" i="2"/>
  <c r="GV36" i="2"/>
  <c r="FD36" i="2"/>
  <c r="BF36" i="2"/>
  <c r="AA36" i="2"/>
  <c r="BI36" i="2"/>
  <c r="BZ36" i="2"/>
  <c r="GA27" i="2"/>
  <c r="W13" i="2"/>
  <c r="GN50" i="2"/>
  <c r="HA35" i="2"/>
  <c r="DC35" i="2"/>
  <c r="P35" i="2"/>
  <c r="DJ35" i="2"/>
  <c r="BM35" i="2"/>
  <c r="HV35" i="2"/>
  <c r="AP35" i="2"/>
  <c r="FX35" i="2"/>
  <c r="FI35" i="2"/>
  <c r="HY35" i="2"/>
  <c r="HD35" i="2"/>
  <c r="DL51" i="2"/>
  <c r="GI51" i="2"/>
  <c r="DB51" i="2"/>
  <c r="FU7" i="2"/>
  <c r="F49" i="2"/>
  <c r="DW49" i="2" s="1"/>
  <c r="GS49" i="2"/>
  <c r="AR40" i="2"/>
  <c r="BY40" i="2"/>
  <c r="AA12" i="2"/>
  <c r="AW12" i="2"/>
  <c r="BE12" i="2"/>
  <c r="EH12" i="2"/>
  <c r="AJ12" i="2"/>
  <c r="GN12" i="2"/>
  <c r="ES12" i="2"/>
  <c r="BR12" i="2"/>
  <c r="O12" i="2"/>
  <c r="X12" i="2"/>
  <c r="HH12" i="2"/>
  <c r="GF52" i="2"/>
  <c r="HE52" i="2"/>
  <c r="DK44" i="2"/>
  <c r="BN44" i="2"/>
  <c r="GC44" i="2"/>
  <c r="AA44" i="2"/>
  <c r="DH44" i="2"/>
  <c r="GC36" i="2"/>
  <c r="DL36" i="2"/>
  <c r="BS36" i="2"/>
  <c r="HL36" i="2"/>
  <c r="FT36" i="2"/>
  <c r="BN36" i="2"/>
  <c r="AI36" i="2"/>
  <c r="CW36" i="2"/>
  <c r="CH36" i="2"/>
  <c r="FH27" i="2"/>
  <c r="CW13" i="2"/>
  <c r="DV13" i="2"/>
  <c r="FD35" i="2"/>
  <c r="BX51" i="2"/>
  <c r="EK51" i="2"/>
  <c r="HR51" i="2"/>
  <c r="GL7" i="2"/>
  <c r="HC40" i="2"/>
  <c r="FW40" i="2"/>
  <c r="BW40" i="2"/>
  <c r="FV40" i="2"/>
  <c r="BV40" i="2"/>
  <c r="FO40" i="2"/>
  <c r="AY40" i="2"/>
  <c r="FN40" i="2"/>
  <c r="BF40" i="2"/>
  <c r="DK40" i="2"/>
  <c r="K40" i="2"/>
  <c r="EH40" i="2"/>
  <c r="HY40" i="2"/>
  <c r="GM40" i="2"/>
  <c r="CE40" i="2"/>
  <c r="GT40" i="2"/>
  <c r="CD40" i="2"/>
  <c r="HS40" i="2"/>
  <c r="HZ40" i="2"/>
  <c r="HI40" i="2"/>
  <c r="DI40" i="2"/>
  <c r="HH40" i="2"/>
  <c r="CZ40" i="2"/>
  <c r="HG40" i="2"/>
  <c r="GG40" i="2"/>
  <c r="BQ40" i="2"/>
  <c r="CP40" i="2"/>
  <c r="HF40" i="2"/>
  <c r="CF40" i="2"/>
  <c r="GV40" i="2"/>
  <c r="AJ40" i="2"/>
  <c r="GU40" i="2"/>
  <c r="HJ40" i="2"/>
  <c r="HA40" i="2"/>
  <c r="DA40" i="2"/>
  <c r="GR40" i="2"/>
  <c r="CJ40" i="2"/>
  <c r="GY40" i="2"/>
  <c r="FI40" i="2"/>
  <c r="BI40" i="2"/>
  <c r="AZ40" i="2"/>
  <c r="HL40" i="2"/>
  <c r="DW40" i="2"/>
  <c r="BJ40" i="2"/>
  <c r="DT40" i="2"/>
  <c r="FP40" i="2"/>
  <c r="FG40" i="2"/>
  <c r="EX40" i="2"/>
  <c r="GS40" i="2"/>
  <c r="CC40" i="2"/>
  <c r="GB40" i="2"/>
  <c r="CB40" i="2"/>
  <c r="GA40" i="2"/>
  <c r="FA40" i="2"/>
  <c r="AS40" i="2"/>
  <c r="HN40" i="2"/>
  <c r="EZ40" i="2"/>
  <c r="DD40" i="2"/>
  <c r="AM40" i="2"/>
  <c r="BX40" i="2"/>
  <c r="EM40" i="2"/>
  <c r="EI40" i="2"/>
  <c r="EP40" i="2"/>
  <c r="GC40" i="2"/>
  <c r="BE40" i="2"/>
  <c r="FT40" i="2"/>
  <c r="BT40" i="2"/>
  <c r="FK40" i="2"/>
  <c r="EK40" i="2"/>
  <c r="AK40" i="2"/>
  <c r="ED40" i="2"/>
  <c r="DF40" i="2"/>
  <c r="BK40" i="2"/>
  <c r="HV40" i="2"/>
  <c r="GP40" i="2"/>
  <c r="CX40" i="2"/>
  <c r="CU40" i="2"/>
  <c r="CL40" i="2"/>
  <c r="EO40" i="2"/>
  <c r="AO40" i="2"/>
  <c r="EV40" i="2"/>
  <c r="X40" i="2"/>
  <c r="HU40" i="2"/>
  <c r="DU40" i="2"/>
  <c r="GN40" i="2"/>
  <c r="BR40" i="2"/>
  <c r="BP40" i="2"/>
  <c r="V40" i="2"/>
  <c r="CA40" i="2"/>
  <c r="BH40" i="2"/>
  <c r="AI40" i="2"/>
  <c r="AX40" i="2"/>
  <c r="EG40" i="2"/>
  <c r="Y40" i="2"/>
  <c r="EF40" i="2"/>
  <c r="P40" i="2"/>
  <c r="HM40" i="2"/>
  <c r="CW40" i="2"/>
  <c r="EE40" i="2"/>
  <c r="AU40" i="2"/>
  <c r="W40" i="2"/>
  <c r="FX40" i="2"/>
  <c r="GX40" i="2"/>
  <c r="CV40" i="2"/>
  <c r="EC40" i="2"/>
  <c r="AW40" i="2"/>
  <c r="AR10" i="2"/>
  <c r="AN10" i="2"/>
  <c r="AP10" i="2"/>
  <c r="AF10" i="2"/>
  <c r="AH10" i="2"/>
  <c r="AI10" i="2"/>
  <c r="AL10" i="2"/>
  <c r="AK10" i="2"/>
  <c r="AC10" i="2"/>
  <c r="K36" i="2"/>
  <c r="CM12" i="2"/>
  <c r="EX12" i="2"/>
  <c r="AC12" i="2"/>
  <c r="GO12" i="2"/>
  <c r="BZ12" i="2"/>
  <c r="AN12" i="2"/>
  <c r="HX12" i="2"/>
  <c r="U52" i="2"/>
  <c r="CN52" i="2"/>
  <c r="GU44" i="2"/>
  <c r="GS44" i="2"/>
  <c r="EU44" i="2"/>
  <c r="HT44" i="2"/>
  <c r="AW44" i="2"/>
  <c r="GQ44" i="2"/>
  <c r="EN44" i="2"/>
  <c r="CV36" i="2"/>
  <c r="GS36" i="2"/>
  <c r="CI36" i="2"/>
  <c r="AE36" i="2"/>
  <c r="GJ36" i="2"/>
  <c r="BV36" i="2"/>
  <c r="CU36" i="2"/>
  <c r="DE36" i="2"/>
  <c r="ED36" i="2"/>
  <c r="AA13" i="2"/>
  <c r="DF13" i="2"/>
  <c r="EG13" i="2"/>
  <c r="EV35" i="2"/>
  <c r="N51" i="2"/>
  <c r="FQ51" i="2"/>
  <c r="CM51" i="2"/>
  <c r="BP7" i="2"/>
  <c r="M36" i="2"/>
  <c r="CO35" i="2"/>
  <c r="CC12" i="2"/>
  <c r="CK12" i="2"/>
  <c r="BX12" i="2"/>
  <c r="W12" i="2"/>
  <c r="EY12" i="2"/>
  <c r="EO12" i="2"/>
  <c r="DQ12" i="2"/>
  <c r="FF12" i="2"/>
  <c r="CF12" i="2"/>
  <c r="AK12" i="2"/>
  <c r="HE12" i="2"/>
  <c r="ED12" i="2"/>
  <c r="CA12" i="2"/>
  <c r="AV12" i="2"/>
  <c r="HY52" i="2"/>
  <c r="CZ52" i="2"/>
  <c r="HG52" i="2"/>
  <c r="AY44" i="2"/>
  <c r="AE44" i="2"/>
  <c r="O44" i="2"/>
  <c r="DS44" i="2"/>
  <c r="BQ44" i="2"/>
  <c r="HP44" i="2"/>
  <c r="EG36" i="2"/>
  <c r="AN36" i="2"/>
  <c r="HG36" i="2"/>
  <c r="EM36" i="2"/>
  <c r="CS36" i="2"/>
  <c r="EH36" i="2"/>
  <c r="EA36" i="2"/>
  <c r="EK36" i="2"/>
  <c r="EL36" i="2"/>
  <c r="EN13" i="2"/>
  <c r="GA13" i="2"/>
  <c r="GU50" i="2"/>
  <c r="GT50" i="2"/>
  <c r="GQ50" i="2"/>
  <c r="GL50" i="2"/>
  <c r="GG50" i="2"/>
  <c r="GS50" i="2"/>
  <c r="GP50" i="2"/>
  <c r="CK35" i="2"/>
  <c r="BB51" i="2"/>
  <c r="FD51" i="2"/>
  <c r="EQ51" i="2"/>
  <c r="AL40" i="2"/>
  <c r="EU40" i="2"/>
  <c r="FM40" i="2"/>
  <c r="HA12" i="2"/>
  <c r="FN12" i="2"/>
  <c r="HM12" i="2"/>
  <c r="BD12" i="2"/>
  <c r="DB44" i="2"/>
  <c r="CV44" i="2"/>
  <c r="BY44" i="2"/>
  <c r="HT36" i="2"/>
  <c r="FC36" i="2"/>
  <c r="EX36" i="2"/>
  <c r="GP36" i="2"/>
  <c r="CJ7" i="2"/>
  <c r="EN7" i="2"/>
  <c r="GH7" i="2"/>
  <c r="BQ7" i="2"/>
  <c r="FV7" i="2"/>
  <c r="IA7" i="2"/>
  <c r="BD7" i="2"/>
  <c r="FZ7" i="2"/>
  <c r="HL7" i="2"/>
  <c r="CT7" i="2"/>
  <c r="DS7" i="2"/>
  <c r="HO7" i="2"/>
  <c r="CP7" i="2"/>
  <c r="GV7" i="2"/>
  <c r="AP7" i="2"/>
  <c r="BG7" i="2"/>
  <c r="EM7" i="2"/>
  <c r="AL7" i="2"/>
  <c r="EZ7" i="2"/>
  <c r="HY7" i="2"/>
  <c r="AQ7" i="2"/>
  <c r="AE7" i="2"/>
  <c r="GG7" i="2"/>
  <c r="AR7" i="2"/>
  <c r="HS7" i="2"/>
  <c r="EQ7" i="2"/>
  <c r="W7" i="2"/>
  <c r="FI7" i="2"/>
  <c r="HB7" i="2"/>
  <c r="FG7" i="2"/>
  <c r="AY7" i="2"/>
  <c r="AO12" i="2"/>
  <c r="EW12" i="2"/>
  <c r="CV12" i="2"/>
  <c r="AS12" i="2"/>
  <c r="EL12" i="2"/>
  <c r="CQ12" i="2"/>
  <c r="EG44" i="2"/>
  <c r="GL44" i="2"/>
  <c r="EY44" i="2"/>
  <c r="HX44" i="2"/>
  <c r="DQ36" i="2"/>
  <c r="HW36" i="2"/>
  <c r="DY36" i="2"/>
  <c r="EQ36" i="2"/>
  <c r="FQ36" i="2"/>
  <c r="DC12" i="2"/>
  <c r="AY12" i="2"/>
  <c r="AX12" i="2"/>
  <c r="HR12" i="2"/>
  <c r="DL12" i="2"/>
  <c r="BA12" i="2"/>
  <c r="HU12" i="2"/>
  <c r="FB12" i="2"/>
  <c r="CY12" i="2"/>
  <c r="DH12" i="2"/>
  <c r="BH52" i="2"/>
  <c r="GR52" i="2"/>
  <c r="HH52" i="2"/>
  <c r="FW44" i="2"/>
  <c r="FC44" i="2"/>
  <c r="GV44" i="2"/>
  <c r="DR44" i="2"/>
  <c r="FU44" i="2"/>
  <c r="AZ36" i="2"/>
  <c r="GN36" i="2"/>
  <c r="HD36" i="2"/>
  <c r="AB36" i="2"/>
  <c r="HO36" i="2"/>
  <c r="FE36" i="2"/>
  <c r="FN36" i="2"/>
  <c r="GU36" i="2"/>
  <c r="GG36" i="2"/>
  <c r="GX36" i="2"/>
  <c r="CT27" i="2"/>
  <c r="DO13" i="2"/>
  <c r="GI13" i="2"/>
  <c r="GR50" i="2"/>
  <c r="FW35" i="2"/>
  <c r="HC51" i="2"/>
  <c r="BW51" i="2"/>
  <c r="BV51" i="2"/>
  <c r="Q51" i="2"/>
  <c r="FR51" i="2"/>
  <c r="FK51" i="2"/>
  <c r="EL51" i="2"/>
  <c r="FZ51" i="2"/>
  <c r="BO51" i="2"/>
  <c r="HY51" i="2"/>
  <c r="GB51" i="2"/>
  <c r="DG51" i="2"/>
  <c r="DE51" i="2"/>
  <c r="DO51" i="2"/>
  <c r="CX51" i="2"/>
  <c r="S51" i="2"/>
  <c r="HQ51" i="2"/>
  <c r="FL51" i="2"/>
  <c r="CR51" i="2"/>
  <c r="AD51" i="2"/>
  <c r="BA51" i="2"/>
  <c r="CJ51" i="2"/>
  <c r="HK51" i="2"/>
  <c r="FV51" i="2"/>
  <c r="EW51" i="2"/>
  <c r="DH51" i="2"/>
  <c r="FP51" i="2"/>
  <c r="HV51" i="2"/>
  <c r="HN51" i="2"/>
  <c r="ED51" i="2"/>
  <c r="FG51" i="2"/>
  <c r="EP51" i="2"/>
  <c r="DA51" i="2"/>
  <c r="HE51" i="2"/>
  <c r="AS51" i="2"/>
  <c r="DD51" i="2"/>
  <c r="CW51" i="2"/>
  <c r="BK51" i="2"/>
  <c r="CK51" i="2"/>
  <c r="HG33" i="2"/>
  <c r="K33" i="2"/>
  <c r="DK33" i="2"/>
  <c r="BZ40" i="2"/>
  <c r="DG40" i="2"/>
  <c r="AV40" i="2"/>
  <c r="DJ40" i="2"/>
  <c r="FR12" i="2"/>
  <c r="FC12" i="2"/>
  <c r="HX36" i="2"/>
  <c r="HY36" i="2"/>
  <c r="BH36" i="2"/>
  <c r="P36" i="2"/>
  <c r="FU36" i="2"/>
  <c r="FV36" i="2"/>
  <c r="HS36" i="2"/>
  <c r="BK27" i="2"/>
  <c r="U35" i="2"/>
  <c r="FE51" i="2"/>
  <c r="EY7" i="2"/>
  <c r="DO7" i="2"/>
  <c r="CE34" i="2"/>
  <c r="HA34" i="2"/>
  <c r="CI34" i="2"/>
  <c r="FQ34" i="2"/>
  <c r="EZ43" i="2"/>
  <c r="O34" i="2"/>
  <c r="BU34" i="2"/>
  <c r="BI34" i="2"/>
  <c r="FS34" i="2"/>
  <c r="BF34" i="2"/>
  <c r="FR34" i="2"/>
  <c r="HN34" i="2"/>
  <c r="CH34" i="2"/>
  <c r="GO34" i="2"/>
  <c r="HC34" i="2"/>
  <c r="DT34" i="2"/>
  <c r="FU34" i="2"/>
  <c r="L34" i="2"/>
  <c r="BW34" i="2"/>
  <c r="DQ34" i="2"/>
  <c r="FX34" i="2"/>
  <c r="Y34" i="2"/>
  <c r="DY34" i="2"/>
  <c r="GY34" i="2"/>
  <c r="AR34" i="2"/>
  <c r="DD34" i="2"/>
  <c r="FF34" i="2"/>
  <c r="HF34" i="2"/>
  <c r="BR34" i="2"/>
  <c r="GG34" i="2"/>
  <c r="HZ34" i="2"/>
  <c r="DA34" i="2"/>
  <c r="EO34" i="2"/>
  <c r="HQ34" i="2"/>
  <c r="BN34" i="2"/>
  <c r="CW34" i="2"/>
  <c r="FD34" i="2"/>
  <c r="P34" i="2"/>
  <c r="CV34" i="2"/>
  <c r="FW34" i="2"/>
  <c r="GL34" i="2"/>
  <c r="GS34" i="2"/>
  <c r="ET34" i="2"/>
  <c r="AD34" i="2"/>
  <c r="ES34" i="2"/>
  <c r="GR34" i="2"/>
  <c r="AO34" i="2"/>
  <c r="CQ34" i="2"/>
  <c r="EX34" i="2"/>
  <c r="GZ34" i="2"/>
  <c r="BD34" i="2"/>
  <c r="CT34" i="2"/>
  <c r="DB34" i="2"/>
  <c r="GA34" i="2"/>
  <c r="X34" i="2"/>
  <c r="CJ34" i="2"/>
  <c r="FO34" i="2"/>
  <c r="HV34" i="2"/>
  <c r="DF34" i="2"/>
  <c r="HM34" i="2"/>
  <c r="HK34" i="2"/>
  <c r="EP34" i="2"/>
  <c r="HT34" i="2"/>
  <c r="AE34" i="2"/>
  <c r="CF34" i="2"/>
  <c r="FG34" i="2"/>
  <c r="GJ34" i="2"/>
  <c r="AQ34" i="2"/>
  <c r="HL34" i="2"/>
  <c r="AY34" i="2"/>
  <c r="CM34" i="2"/>
  <c r="DK34" i="2"/>
  <c r="AI34" i="2"/>
  <c r="HM16" i="2"/>
  <c r="FM16" i="2"/>
  <c r="EM16" i="2"/>
  <c r="F25" i="2"/>
  <c r="DF25" i="2" s="1"/>
  <c r="AV43" i="2"/>
  <c r="EF43" i="2"/>
  <c r="CP43" i="2"/>
  <c r="GH43" i="2"/>
  <c r="HZ43" i="2"/>
  <c r="DI43" i="2"/>
  <c r="R43" i="2"/>
  <c r="EP43" i="2"/>
  <c r="S43" i="2"/>
  <c r="EQ43" i="2"/>
  <c r="AB43" i="2"/>
  <c r="FP43" i="2"/>
  <c r="DK31" i="2"/>
  <c r="U6" i="2"/>
  <c r="FH41" i="2"/>
  <c r="L41" i="2"/>
  <c r="U41" i="2"/>
  <c r="HM41" i="2"/>
  <c r="GZ41" i="2"/>
  <c r="FS41" i="2"/>
  <c r="GF41" i="2"/>
  <c r="HW41" i="2"/>
  <c r="HX41" i="2"/>
  <c r="HL41" i="2"/>
  <c r="HV39" i="2"/>
  <c r="GU39" i="2"/>
  <c r="BW39" i="2"/>
  <c r="DZ39" i="2"/>
  <c r="GC39" i="2"/>
  <c r="Q39" i="2"/>
  <c r="BL39" i="2"/>
  <c r="DM39" i="2"/>
  <c r="BS39" i="2"/>
  <c r="CI39" i="2"/>
  <c r="HW39" i="2"/>
  <c r="GX39" i="2"/>
  <c r="GF39" i="2"/>
  <c r="IA39" i="2"/>
  <c r="BG39" i="2"/>
  <c r="DR39" i="2"/>
  <c r="FU39" i="2"/>
  <c r="HP39" i="2"/>
  <c r="BD39" i="2"/>
  <c r="DE39" i="2"/>
  <c r="AD39" i="2"/>
  <c r="AT39" i="2"/>
  <c r="DV39" i="2"/>
  <c r="EM39" i="2"/>
  <c r="FJ39" i="2"/>
  <c r="EY39" i="2"/>
  <c r="HJ39" i="2"/>
  <c r="AX39" i="2"/>
  <c r="CS39" i="2"/>
  <c r="EV39" i="2"/>
  <c r="GW39" i="2"/>
  <c r="AC39" i="2"/>
  <c r="AU39" i="2"/>
  <c r="DD39" i="2"/>
  <c r="AM39" i="2"/>
  <c r="FZ39" i="2"/>
  <c r="O39" i="2"/>
  <c r="CE39" i="2"/>
  <c r="EP39" i="2"/>
  <c r="GK39" i="2"/>
  <c r="Y39" i="2"/>
  <c r="CB39" i="2"/>
  <c r="DU39" i="2"/>
  <c r="CP39" i="2"/>
  <c r="DF39" i="2"/>
  <c r="V39" i="2"/>
  <c r="CV39" i="2"/>
  <c r="DT39" i="2"/>
  <c r="AS39" i="2"/>
  <c r="FD39" i="2"/>
  <c r="BF39" i="2"/>
  <c r="FO39" i="2"/>
  <c r="DE34" i="2"/>
  <c r="HH34" i="2"/>
  <c r="EH34" i="2"/>
  <c r="HP34" i="2"/>
  <c r="DS34" i="2"/>
  <c r="HB34" i="2"/>
  <c r="AL34" i="2"/>
  <c r="CZ25" i="2"/>
  <c r="HB24" i="2"/>
  <c r="GW24" i="2"/>
  <c r="BS43" i="2"/>
  <c r="CX43" i="2"/>
  <c r="GP43" i="2"/>
  <c r="Q43" i="2"/>
  <c r="EO43" i="2"/>
  <c r="Z43" i="2"/>
  <c r="EX43" i="2"/>
  <c r="AI43" i="2"/>
  <c r="FG43" i="2"/>
  <c r="BX43" i="2"/>
  <c r="DI31" i="2"/>
  <c r="GV41" i="2"/>
  <c r="BX41" i="2"/>
  <c r="AC41" i="2"/>
  <c r="HP41" i="2"/>
  <c r="Y41" i="2"/>
  <c r="HU41" i="2"/>
  <c r="K41" i="2"/>
  <c r="DY41" i="2"/>
  <c r="CQ39" i="2"/>
  <c r="W39" i="2"/>
  <c r="CO39" i="2"/>
  <c r="HH39" i="2"/>
  <c r="DJ39" i="2"/>
  <c r="HK39" i="2"/>
  <c r="EI34" i="2"/>
  <c r="CA34" i="2"/>
  <c r="ER34" i="2"/>
  <c r="AM34" i="2"/>
  <c r="EE34" i="2"/>
  <c r="HJ34" i="2"/>
  <c r="AT34" i="2"/>
  <c r="DH43" i="2"/>
  <c r="FX43" i="2"/>
  <c r="DF43" i="2"/>
  <c r="EV43" i="2"/>
  <c r="AG43" i="2"/>
  <c r="FE43" i="2"/>
  <c r="AH43" i="2"/>
  <c r="FF43" i="2"/>
  <c r="BO43" i="2"/>
  <c r="FO43" i="2"/>
  <c r="CF43" i="2"/>
  <c r="HV43" i="2"/>
  <c r="DO31" i="2"/>
  <c r="AT41" i="2"/>
  <c r="AS41" i="2"/>
  <c r="AM41" i="2"/>
  <c r="X41" i="2"/>
  <c r="AG41" i="2"/>
  <c r="AX41" i="2"/>
  <c r="AI41" i="2"/>
  <c r="FY39" i="2"/>
  <c r="CC39" i="2"/>
  <c r="GL39" i="2"/>
  <c r="AP34" i="2"/>
  <c r="DO34" i="2"/>
  <c r="AG34" i="2"/>
  <c r="S34" i="2"/>
  <c r="DH34" i="2"/>
  <c r="M34" i="2"/>
  <c r="DU34" i="2"/>
  <c r="DN34" i="2"/>
  <c r="DA25" i="2"/>
  <c r="F45" i="2"/>
  <c r="GK45" i="2" s="1"/>
  <c r="GD45" i="2"/>
  <c r="F8" i="2"/>
  <c r="EM8" i="2" s="1"/>
  <c r="AJ8" i="2"/>
  <c r="F48" i="2"/>
  <c r="CZ48" i="2" s="1"/>
  <c r="GO48" i="2"/>
  <c r="GP48" i="2"/>
  <c r="CO26" i="2"/>
  <c r="CL25" i="2"/>
  <c r="DV24" i="2"/>
  <c r="BT24" i="2"/>
  <c r="CH24" i="2"/>
  <c r="DG24" i="2"/>
  <c r="BM24" i="2"/>
  <c r="HY24" i="2"/>
  <c r="FV24" i="2"/>
  <c r="DS24" i="2"/>
  <c r="BH24" i="2"/>
  <c r="HT24" i="2"/>
  <c r="FY24" i="2"/>
  <c r="CZ24" i="2"/>
  <c r="DN24" i="2"/>
  <c r="EE24" i="2"/>
  <c r="CC24" i="2"/>
  <c r="AH24" i="2"/>
  <c r="GT24" i="2"/>
  <c r="EI24" i="2"/>
  <c r="CF24" i="2"/>
  <c r="AC24" i="2"/>
  <c r="GO24" i="2"/>
  <c r="DB26" i="2"/>
  <c r="W8" i="2"/>
  <c r="GJ48" i="2"/>
  <c r="FZ48" i="2"/>
  <c r="CR24" i="2"/>
  <c r="BZ24" i="2"/>
  <c r="O24" i="2"/>
  <c r="GA24" i="2"/>
  <c r="EG24" i="2"/>
  <c r="CD24" i="2"/>
  <c r="S24" i="2"/>
  <c r="GM24" i="2"/>
  <c r="EB24" i="2"/>
  <c r="BY24" i="2"/>
  <c r="BH18" i="2"/>
  <c r="DP18" i="2"/>
  <c r="EM18" i="2"/>
  <c r="GX18" i="2"/>
  <c r="F53" i="2"/>
  <c r="V53" i="2" s="1"/>
  <c r="BD24" i="2"/>
  <c r="GJ24" i="2"/>
  <c r="FR24" i="2"/>
  <c r="AE24" i="2"/>
  <c r="GQ24" i="2"/>
  <c r="EO24" i="2"/>
  <c r="CT24" i="2"/>
  <c r="AI24" i="2"/>
  <c r="GU24" i="2"/>
  <c r="ER24" i="2"/>
  <c r="CO24" i="2"/>
  <c r="CN26" i="2"/>
  <c r="GB48" i="2"/>
  <c r="GA48" i="2"/>
  <c r="DP24" i="2"/>
  <c r="FJ24" i="2"/>
  <c r="EN24" i="2"/>
  <c r="BC24" i="2"/>
  <c r="HW24" i="2"/>
  <c r="FU24" i="2"/>
  <c r="DR24" i="2"/>
  <c r="BO24" i="2"/>
  <c r="IA24" i="2"/>
  <c r="FP24" i="2"/>
  <c r="DU24" i="2"/>
  <c r="CR26" i="2"/>
  <c r="GL48" i="2"/>
  <c r="CP24" i="2"/>
  <c r="HV24" i="2"/>
  <c r="GZ24" i="2"/>
  <c r="CY24" i="2"/>
  <c r="AW24" i="2"/>
  <c r="HI24" i="2"/>
  <c r="FN24" i="2"/>
  <c r="DC24" i="2"/>
  <c r="AR24" i="2"/>
  <c r="HL24" i="2"/>
  <c r="DF32" i="2"/>
  <c r="CF47" i="2"/>
  <c r="DC47" i="2"/>
  <c r="AO47" i="2"/>
  <c r="Y47" i="2"/>
  <c r="AA47" i="2"/>
  <c r="BU47" i="2"/>
  <c r="AG47" i="2"/>
  <c r="L47" i="2"/>
  <c r="Z47" i="2"/>
  <c r="DB47" i="2"/>
  <c r="BA47" i="2"/>
  <c r="EK47" i="2"/>
  <c r="HM47" i="2"/>
  <c r="CP47" i="2"/>
  <c r="BC47" i="2"/>
  <c r="CJ47" i="2"/>
  <c r="GZ47" i="2"/>
  <c r="CN38" i="2"/>
  <c r="DU38" i="2"/>
  <c r="FB38" i="2"/>
  <c r="HL38" i="2"/>
  <c r="GO38" i="2"/>
  <c r="CZ38" i="2"/>
  <c r="HP38" i="2"/>
  <c r="EG38" i="2"/>
  <c r="BF38" i="2"/>
  <c r="FN38" i="2"/>
  <c r="CE38" i="2"/>
  <c r="HC38" i="2"/>
  <c r="DV15" i="2"/>
  <c r="AZ15" i="2"/>
  <c r="DG15" i="2"/>
  <c r="CS15" i="2"/>
  <c r="BT29" i="2"/>
  <c r="DJ28" i="2"/>
  <c r="CW28" i="2"/>
  <c r="DG28" i="2"/>
  <c r="DH32" i="2"/>
  <c r="BW32" i="2"/>
  <c r="AE32" i="2"/>
  <c r="HO32" i="2"/>
  <c r="HB32" i="2"/>
  <c r="FG32" i="2"/>
  <c r="DO32" i="2"/>
  <c r="CJ32" i="2"/>
  <c r="BF32" i="2"/>
  <c r="Q32" i="2"/>
  <c r="DQ32" i="2"/>
  <c r="HA32" i="2"/>
  <c r="CF32" i="2"/>
  <c r="FX32" i="2"/>
  <c r="BA32" i="2"/>
  <c r="ES32" i="2"/>
  <c r="V32" i="2"/>
  <c r="DN32" i="2"/>
  <c r="AO9" i="2"/>
  <c r="AD9" i="2"/>
  <c r="HK54" i="2"/>
  <c r="HL54" i="2"/>
  <c r="ER47" i="2"/>
  <c r="DS47" i="2"/>
  <c r="BH47" i="2"/>
  <c r="AR47" i="2"/>
  <c r="CM47" i="2"/>
  <c r="CN47" i="2"/>
  <c r="AZ47" i="2"/>
  <c r="AI47" i="2"/>
  <c r="AH47" i="2"/>
  <c r="DJ47" i="2"/>
  <c r="GL47" i="2"/>
  <c r="BI47" i="2"/>
  <c r="ES47" i="2"/>
  <c r="CX47" i="2"/>
  <c r="GH47" i="2"/>
  <c r="BK47" i="2"/>
  <c r="GI47" i="2"/>
  <c r="CR47" i="2"/>
  <c r="HH47" i="2"/>
  <c r="BR38" i="2"/>
  <c r="DO38" i="2"/>
  <c r="BA38" i="2"/>
  <c r="DT38" i="2"/>
  <c r="EK38" i="2"/>
  <c r="FR38" i="2"/>
  <c r="T38" i="2"/>
  <c r="GW38" i="2"/>
  <c r="DH38" i="2"/>
  <c r="HX38" i="2"/>
  <c r="EO38" i="2"/>
  <c r="BN38" i="2"/>
  <c r="GT38" i="2"/>
  <c r="DK38" i="2"/>
  <c r="HS38" i="2"/>
  <c r="DU30" i="2"/>
  <c r="FQ15" i="2"/>
  <c r="CN15" i="2"/>
  <c r="FC15" i="2"/>
  <c r="DA15" i="2"/>
  <c r="GG29" i="2"/>
  <c r="DA28" i="2"/>
  <c r="FO32" i="2"/>
  <c r="GU32" i="2"/>
  <c r="CA32" i="2"/>
  <c r="BN32" i="2"/>
  <c r="S32" i="2"/>
  <c r="HS32" i="2"/>
  <c r="FK32" i="2"/>
  <c r="DP32" i="2"/>
  <c r="DB32" i="2"/>
  <c r="AW32" i="2"/>
  <c r="EG32" i="2"/>
  <c r="L32" i="2"/>
  <c r="DD32" i="2"/>
  <c r="GV32" i="2"/>
  <c r="BY32" i="2"/>
  <c r="FY32" i="2"/>
  <c r="AL32" i="2"/>
  <c r="FJ32" i="2"/>
  <c r="AH9" i="2"/>
  <c r="GZ54" i="2"/>
  <c r="HE54" i="2"/>
  <c r="FH47" i="2"/>
  <c r="AQ47" i="2"/>
  <c r="DA47" i="2"/>
  <c r="EA47" i="2"/>
  <c r="EB47" i="2"/>
  <c r="EG47" i="2"/>
  <c r="CS47" i="2"/>
  <c r="DQ47" i="2"/>
  <c r="AX47" i="2"/>
  <c r="DZ47" i="2"/>
  <c r="HR47" i="2"/>
  <c r="BY47" i="2"/>
  <c r="AD47" i="2"/>
  <c r="DN47" i="2"/>
  <c r="HN47" i="2"/>
  <c r="DG47" i="2"/>
  <c r="P47" i="2"/>
  <c r="EN47" i="2"/>
  <c r="DN38" i="2"/>
  <c r="GY38" i="2"/>
  <c r="HO38" i="2"/>
  <c r="BB38" i="2"/>
  <c r="HD38" i="2"/>
  <c r="N38" i="2"/>
  <c r="BK38" i="2"/>
  <c r="DL38" i="2"/>
  <c r="AF38" i="2"/>
  <c r="EV38" i="2"/>
  <c r="AG38" i="2"/>
  <c r="FM38" i="2"/>
  <c r="CL38" i="2"/>
  <c r="HJ38" i="2"/>
  <c r="EI38" i="2"/>
  <c r="AL15" i="2"/>
  <c r="DF15" i="2"/>
  <c r="GN15" i="2"/>
  <c r="AN15" i="2"/>
  <c r="R15" i="2"/>
  <c r="BZ29" i="2"/>
  <c r="IA32" i="2"/>
  <c r="EN32" i="2"/>
  <c r="DG32" i="2"/>
  <c r="CD32" i="2"/>
  <c r="AY32" i="2"/>
  <c r="GA32" i="2"/>
  <c r="EV32" i="2"/>
  <c r="DR32" i="2"/>
  <c r="BE32" i="2"/>
  <c r="EO32" i="2"/>
  <c r="T32" i="2"/>
  <c r="DL32" i="2"/>
  <c r="HD32" i="2"/>
  <c r="CG32" i="2"/>
  <c r="GG32" i="2"/>
  <c r="AT32" i="2"/>
  <c r="FR32" i="2"/>
  <c r="AB9" i="2"/>
  <c r="AM9" i="2"/>
  <c r="Q47" i="2"/>
  <c r="DY47" i="2"/>
  <c r="DT47" i="2"/>
  <c r="EW47" i="2"/>
  <c r="EY47" i="2"/>
  <c r="EZ47" i="2"/>
  <c r="FE47" i="2"/>
  <c r="EJ47" i="2"/>
  <c r="BF47" i="2"/>
  <c r="EX47" i="2"/>
  <c r="HZ47" i="2"/>
  <c r="CG47" i="2"/>
  <c r="AL47" i="2"/>
  <c r="ET47" i="2"/>
  <c r="HV47" i="2"/>
  <c r="DO47" i="2"/>
  <c r="X47" i="2"/>
  <c r="EV47" i="2"/>
  <c r="DM38" i="2"/>
  <c r="CW38" i="2"/>
  <c r="HW38" i="2"/>
  <c r="AD38" i="2"/>
  <c r="CA38" i="2"/>
  <c r="EB38" i="2"/>
  <c r="AN38" i="2"/>
  <c r="FD38" i="2"/>
  <c r="BM38" i="2"/>
  <c r="HA38" i="2"/>
  <c r="DZ38" i="2"/>
  <c r="K38" i="2"/>
  <c r="EQ38" i="2"/>
  <c r="BI15" i="2"/>
  <c r="BR15" i="2"/>
  <c r="FZ15" i="2"/>
  <c r="CJ15" i="2"/>
  <c r="FV29" i="2"/>
  <c r="T29" i="2"/>
  <c r="DW47" i="2"/>
  <c r="AF47" i="2"/>
  <c r="FD47" i="2"/>
  <c r="GW47" i="2"/>
  <c r="BB47" i="2"/>
  <c r="FJ47" i="2"/>
  <c r="O47" i="2"/>
  <c r="EM47" i="2"/>
  <c r="AV47" i="2"/>
  <c r="FT47" i="2"/>
  <c r="GL15" i="2"/>
  <c r="GK15" i="2"/>
  <c r="HX15" i="2"/>
  <c r="P15" i="2"/>
  <c r="AM15" i="2"/>
  <c r="FX15" i="2"/>
  <c r="DM15" i="2"/>
  <c r="CM15" i="2"/>
  <c r="DS15" i="2"/>
  <c r="CE15" i="2"/>
  <c r="GD15" i="2"/>
  <c r="FU15" i="2"/>
  <c r="GB15" i="2"/>
  <c r="HW15" i="2"/>
  <c r="W15" i="2"/>
  <c r="FH15" i="2"/>
  <c r="BW15" i="2"/>
  <c r="FW15" i="2"/>
  <c r="CW15" i="2"/>
  <c r="HS15" i="2"/>
  <c r="DZ15" i="2"/>
  <c r="FM15" i="2"/>
  <c r="FL15" i="2"/>
  <c r="GA15" i="2"/>
  <c r="O15" i="2"/>
  <c r="DT15" i="2"/>
  <c r="BA15" i="2"/>
  <c r="EA15" i="2"/>
  <c r="FG15" i="2"/>
  <c r="Q15" i="2"/>
  <c r="Z15" i="2"/>
  <c r="AW15" i="2"/>
  <c r="CB15" i="2"/>
  <c r="CQ15" i="2"/>
  <c r="FR15" i="2"/>
  <c r="AB15" i="2"/>
  <c r="EY15" i="2"/>
  <c r="CG15" i="2"/>
  <c r="DU15" i="2"/>
  <c r="ED15" i="2"/>
  <c r="EV15" i="2"/>
  <c r="CT15" i="2"/>
  <c r="HP32" i="2"/>
  <c r="DX32" i="2"/>
  <c r="EY32" i="2"/>
  <c r="FS32" i="2"/>
  <c r="EP32" i="2"/>
  <c r="EA32" i="2"/>
  <c r="BC32" i="2"/>
  <c r="AN32" i="2"/>
  <c r="HX32" i="2"/>
  <c r="GT32" i="2"/>
  <c r="CK32" i="2"/>
  <c r="GK32" i="2"/>
  <c r="AZ32" i="2"/>
  <c r="EZ32" i="2"/>
  <c r="AC32" i="2"/>
  <c r="DU32" i="2"/>
  <c r="HM32" i="2"/>
  <c r="CX32" i="2"/>
  <c r="HF32" i="2"/>
  <c r="Y9" i="2"/>
  <c r="BM47" i="2"/>
  <c r="T47" i="2"/>
  <c r="S47" i="2"/>
  <c r="HY47" i="2"/>
  <c r="HI47" i="2"/>
  <c r="AY47" i="2"/>
  <c r="K47" i="2"/>
  <c r="HQ47" i="2"/>
  <c r="GV47" i="2"/>
  <c r="CT47" i="2"/>
  <c r="AC47" i="2"/>
  <c r="EC47" i="2"/>
  <c r="HE47" i="2"/>
  <c r="CH47" i="2"/>
  <c r="FR47" i="2"/>
  <c r="AU47" i="2"/>
  <c r="FS47" i="2"/>
  <c r="CB47" i="2"/>
  <c r="BC38" i="2"/>
  <c r="AL38" i="2"/>
  <c r="HT38" i="2"/>
  <c r="BX38" i="2"/>
  <c r="DE38" i="2"/>
  <c r="EL38" i="2"/>
  <c r="GP38" i="2"/>
  <c r="GG38" i="2"/>
  <c r="CR38" i="2"/>
  <c r="GJ38" i="2"/>
  <c r="CS38" i="2"/>
  <c r="R38" i="2"/>
  <c r="EX38" i="2"/>
  <c r="BO38" i="2"/>
  <c r="F30" i="2"/>
  <c r="HB30" i="2" s="1"/>
  <c r="DT30" i="2"/>
  <c r="GO15" i="2"/>
  <c r="T15" i="2"/>
  <c r="CI15" i="2"/>
  <c r="AG15" i="2"/>
  <c r="HB15" i="2"/>
  <c r="DG30" i="2"/>
  <c r="BM29" i="2"/>
  <c r="DP29" i="2"/>
  <c r="HB29" i="2"/>
  <c r="BX29" i="2"/>
  <c r="ED29" i="2"/>
  <c r="FC46" i="2"/>
  <c r="CZ42" i="2"/>
  <c r="CA42" i="2"/>
  <c r="W42" i="2"/>
  <c r="BS42" i="2"/>
  <c r="FY42" i="2"/>
  <c r="AL42" i="2"/>
  <c r="FR42" i="2"/>
  <c r="GS42" i="2"/>
  <c r="HR42" i="2"/>
  <c r="T42" i="2"/>
  <c r="HT42" i="2"/>
  <c r="BM22" i="2"/>
  <c r="CE11" i="2"/>
  <c r="AW11" i="2"/>
  <c r="EY11" i="2"/>
  <c r="CS11" i="2"/>
  <c r="BO11" i="2"/>
  <c r="CK11" i="2"/>
  <c r="HY11" i="2"/>
  <c r="CL11" i="2"/>
  <c r="GD11" i="2"/>
  <c r="AJ11" i="2"/>
  <c r="DL11" i="2"/>
  <c r="HD11" i="2"/>
  <c r="BQ11" i="2"/>
  <c r="ES11" i="2"/>
  <c r="N11" i="2"/>
  <c r="CX11" i="2"/>
  <c r="HF11" i="2"/>
  <c r="CY11" i="2"/>
  <c r="HW11" i="2"/>
  <c r="EF11" i="2"/>
  <c r="AR17" i="2"/>
  <c r="AY29" i="2"/>
  <c r="CV29" i="2"/>
  <c r="EC29" i="2"/>
  <c r="FB29" i="2"/>
  <c r="AK42" i="2"/>
  <c r="AS42" i="2"/>
  <c r="DH42" i="2"/>
  <c r="HO42" i="2"/>
  <c r="AT42" i="2"/>
  <c r="HF42" i="2"/>
  <c r="AH42" i="2"/>
  <c r="K42" i="2"/>
  <c r="AJ42" i="2"/>
  <c r="DF11" i="2"/>
  <c r="HN11" i="2"/>
  <c r="DG11" i="2"/>
  <c r="P11" i="2"/>
  <c r="EN11" i="2"/>
  <c r="DU55" i="2"/>
  <c r="GV55" i="2"/>
  <c r="BO55" i="2"/>
  <c r="AG55" i="2"/>
  <c r="BN46" i="2"/>
  <c r="DM46" i="2"/>
  <c r="GX46" i="2"/>
  <c r="BT46" i="2"/>
  <c r="AN42" i="2"/>
  <c r="CB42" i="2"/>
  <c r="GJ42" i="2"/>
  <c r="DO42" i="2"/>
  <c r="CX42" i="2"/>
  <c r="BE42" i="2"/>
  <c r="CT42" i="2"/>
  <c r="BW42" i="2"/>
  <c r="CV42" i="2"/>
  <c r="CU22" i="2"/>
  <c r="FC22" i="2"/>
  <c r="HG22" i="2"/>
  <c r="FF22" i="2"/>
  <c r="FW11" i="2"/>
  <c r="GC11" i="2"/>
  <c r="K11" i="2"/>
  <c r="GK11" i="2"/>
  <c r="FG11" i="2"/>
  <c r="AO11" i="2"/>
  <c r="AX11" i="2"/>
  <c r="DZ11" i="2"/>
  <c r="HB11" i="2"/>
  <c r="BX11" i="2"/>
  <c r="EZ11" i="2"/>
  <c r="M11" i="2"/>
  <c r="DE11" i="2"/>
  <c r="GG11" i="2"/>
  <c r="AL11" i="2"/>
  <c r="ET11" i="2"/>
  <c r="DW11" i="2"/>
  <c r="AF11" i="2"/>
  <c r="FD11" i="2"/>
  <c r="DO37" i="2"/>
  <c r="EA29" i="2"/>
  <c r="FX29" i="2"/>
  <c r="BK29" i="2"/>
  <c r="CS55" i="2"/>
  <c r="DH46" i="2"/>
  <c r="DW42" i="2"/>
  <c r="CY42" i="2"/>
  <c r="HG42" i="2"/>
  <c r="M42" i="2"/>
  <c r="DF42" i="2"/>
  <c r="BU42" i="2"/>
  <c r="DJ42" i="2"/>
  <c r="DS42" i="2"/>
  <c r="ER42" i="2"/>
  <c r="GU22" i="2"/>
  <c r="P22" i="2"/>
  <c r="DJ22" i="2"/>
  <c r="DC11" i="2"/>
  <c r="HC11" i="2"/>
  <c r="AA11" i="2"/>
  <c r="Q11" i="2"/>
  <c r="HQ11" i="2"/>
  <c r="GM11" i="2"/>
  <c r="DA11" i="2"/>
  <c r="BF11" i="2"/>
  <c r="EH11" i="2"/>
  <c r="HJ11" i="2"/>
  <c r="CF11" i="2"/>
  <c r="FH11" i="2"/>
  <c r="U11" i="2"/>
  <c r="DM11" i="2"/>
  <c r="GO11" i="2"/>
  <c r="AT11" i="2"/>
  <c r="FB11" i="2"/>
  <c r="AM11" i="2"/>
  <c r="FK11" i="2"/>
  <c r="BT11" i="2"/>
  <c r="GR11" i="2"/>
  <c r="DU17" i="2"/>
  <c r="DF30" i="2"/>
  <c r="FT29" i="2"/>
  <c r="DR29" i="2"/>
  <c r="EY29" i="2"/>
  <c r="M29" i="2"/>
  <c r="AL29" i="2"/>
  <c r="FC29" i="2"/>
  <c r="GT53" i="2"/>
  <c r="EN55" i="2"/>
  <c r="BL55" i="2"/>
  <c r="BZ55" i="2"/>
  <c r="EX46" i="2"/>
  <c r="O46" i="2"/>
  <c r="HE42" i="2"/>
  <c r="DU42" i="2"/>
  <c r="DG42" i="2"/>
  <c r="BA42" i="2"/>
  <c r="GA42" i="2"/>
  <c r="ET42" i="2"/>
  <c r="DQ42" i="2"/>
  <c r="FF42" i="2"/>
  <c r="EI42" i="2"/>
  <c r="BG22" i="2"/>
  <c r="M22" i="2"/>
  <c r="BB22" i="2"/>
  <c r="CB22" i="2"/>
  <c r="GB22" i="2"/>
  <c r="CC11" i="2"/>
  <c r="AQ11" i="2"/>
  <c r="BG11" i="2"/>
  <c r="EO11" i="2"/>
  <c r="BW11" i="2"/>
  <c r="EI11" i="2"/>
  <c r="EG11" i="2"/>
  <c r="BN11" i="2"/>
  <c r="EP11" i="2"/>
  <c r="L11" i="2"/>
  <c r="CN11" i="2"/>
  <c r="FP11" i="2"/>
  <c r="AS11" i="2"/>
  <c r="DU11" i="2"/>
  <c r="GW11" i="2"/>
  <c r="BZ11" i="2"/>
  <c r="FJ11" i="2"/>
  <c r="AU11" i="2"/>
  <c r="FS11" i="2"/>
  <c r="CB11" i="2"/>
  <c r="GZ11" i="2"/>
  <c r="FM37" i="2"/>
  <c r="GT17" i="2"/>
  <c r="BA17" i="2"/>
  <c r="CM17" i="2"/>
  <c r="DN30" i="2"/>
  <c r="DJ29" i="2"/>
  <c r="GD29" i="2"/>
  <c r="HC29" i="2"/>
  <c r="BA29" i="2"/>
  <c r="GU53" i="2"/>
  <c r="GX53" i="2"/>
  <c r="HQ55" i="2"/>
  <c r="FY55" i="2"/>
  <c r="GO55" i="2"/>
  <c r="EI46" i="2"/>
  <c r="GL46" i="2"/>
  <c r="GJ46" i="2"/>
  <c r="AE46" i="2"/>
  <c r="U42" i="2"/>
  <c r="ES42" i="2"/>
  <c r="HW42" i="2"/>
  <c r="EV42" i="2"/>
  <c r="BT42" i="2"/>
  <c r="GN42" i="2"/>
  <c r="FB42" i="2"/>
  <c r="EG42" i="2"/>
  <c r="FN42" i="2"/>
  <c r="GE42" i="2"/>
  <c r="FP42" i="2"/>
  <c r="GL22" i="2"/>
  <c r="AC22" i="2"/>
  <c r="DN22" i="2"/>
  <c r="EO22" i="2"/>
  <c r="EQ22" i="2"/>
  <c r="S11" i="2"/>
  <c r="FO11" i="2"/>
  <c r="CM11" i="2"/>
  <c r="HA11" i="2"/>
  <c r="FU11" i="2"/>
  <c r="IA11" i="2"/>
  <c r="FM11" i="2"/>
  <c r="BV11" i="2"/>
  <c r="EX11" i="2"/>
  <c r="T11" i="2"/>
  <c r="CV11" i="2"/>
  <c r="FX11" i="2"/>
  <c r="BA11" i="2"/>
  <c r="EC11" i="2"/>
  <c r="HE11" i="2"/>
  <c r="CH11" i="2"/>
  <c r="FR11" i="2"/>
  <c r="BC11" i="2"/>
  <c r="GA11" i="2"/>
  <c r="CJ11" i="2"/>
  <c r="HH11" i="2"/>
  <c r="S37" i="2"/>
  <c r="IA37" i="2"/>
  <c r="HY37" i="2"/>
  <c r="S17" i="2"/>
  <c r="FS42" i="2"/>
  <c r="V42" i="2"/>
  <c r="GC42" i="2"/>
  <c r="FV42" i="2"/>
  <c r="GU42" i="2"/>
  <c r="HD42" i="2"/>
  <c r="CP11" i="2"/>
  <c r="GX11" i="2"/>
  <c r="BK11" i="2"/>
  <c r="GI11" i="2"/>
  <c r="CR11" i="2"/>
  <c r="HP11" i="2"/>
  <c r="HU17" i="2"/>
  <c r="CI12" i="2"/>
  <c r="FK12" i="2"/>
  <c r="DP12" i="2"/>
  <c r="GR12" i="2"/>
  <c r="BR52" i="2"/>
  <c r="CP52" i="2"/>
  <c r="DQ52" i="2"/>
  <c r="O52" i="2"/>
  <c r="CG52" i="2"/>
  <c r="EL52" i="2"/>
  <c r="HW52" i="2"/>
  <c r="CQ52" i="2"/>
  <c r="GD52" i="2"/>
  <c r="FX52" i="2"/>
  <c r="BT52" i="2"/>
  <c r="GS52" i="2"/>
  <c r="CC52" i="2"/>
  <c r="GT52" i="2"/>
  <c r="CD52" i="2"/>
  <c r="GV52" i="2"/>
  <c r="BW52" i="2"/>
  <c r="GL52" i="2"/>
  <c r="DS52" i="2"/>
  <c r="HS52" i="2"/>
  <c r="DY44" i="2"/>
  <c r="CP44" i="2"/>
  <c r="BJ44" i="2"/>
  <c r="FB44" i="2"/>
  <c r="DL44" i="2"/>
  <c r="AR44" i="2"/>
  <c r="BZ44" i="2"/>
  <c r="GX44" i="2"/>
  <c r="DG44" i="2"/>
  <c r="GR44" i="2"/>
  <c r="EF44" i="2"/>
  <c r="BT44" i="2"/>
  <c r="HV44" i="2"/>
  <c r="FY44" i="2"/>
  <c r="DM44" i="2"/>
  <c r="BA44" i="2"/>
  <c r="HB44" i="2"/>
  <c r="DT44" i="2"/>
  <c r="AM44" i="2"/>
  <c r="GE44" i="2"/>
  <c r="CX44" i="2"/>
  <c r="Q44" i="2"/>
  <c r="FH44" i="2"/>
  <c r="CA44" i="2"/>
  <c r="HI44" i="2"/>
  <c r="EA44" i="2"/>
  <c r="AT44" i="2"/>
  <c r="GA44" i="2"/>
  <c r="CT44" i="2"/>
  <c r="L44" i="2"/>
  <c r="ER44" i="2"/>
  <c r="BK44" i="2"/>
  <c r="BU44" i="2"/>
  <c r="GH44" i="2"/>
  <c r="CS44" i="2"/>
  <c r="HC44" i="2"/>
  <c r="AG44" i="2"/>
  <c r="GB44" i="2"/>
  <c r="DP44" i="2"/>
  <c r="BD44" i="2"/>
  <c r="HU44" i="2"/>
  <c r="FI44" i="2"/>
  <c r="CW44" i="2"/>
  <c r="AK44" i="2"/>
  <c r="GF44" i="2"/>
  <c r="CY44" i="2"/>
  <c r="R44" i="2"/>
  <c r="FJ44" i="2"/>
  <c r="CC44" i="2"/>
  <c r="HW44" i="2"/>
  <c r="EM44" i="2"/>
  <c r="BF44" i="2"/>
  <c r="GM44" i="2"/>
  <c r="DF44" i="2"/>
  <c r="Y44" i="2"/>
  <c r="FF44" i="2"/>
  <c r="BX44" i="2"/>
  <c r="HD44" i="2"/>
  <c r="DW44" i="2"/>
  <c r="AP44" i="2"/>
  <c r="GK44" i="2"/>
  <c r="DA44" i="2"/>
  <c r="K44" i="2"/>
  <c r="DV44" i="2"/>
  <c r="FE44" i="2"/>
  <c r="HH44" i="2"/>
  <c r="DX44" i="2"/>
  <c r="AN44" i="2"/>
  <c r="GO44" i="2"/>
  <c r="DE44" i="2"/>
  <c r="U44" i="2"/>
  <c r="EP44" i="2"/>
  <c r="AB44" i="2"/>
  <c r="EO44" i="2"/>
  <c r="AL44" i="2"/>
  <c r="EX44" i="2"/>
  <c r="AJ44" i="2"/>
  <c r="EW44" i="2"/>
  <c r="AI44" i="2"/>
  <c r="EJ44" i="2"/>
  <c r="AH44" i="2"/>
  <c r="EH44" i="2"/>
  <c r="T44" i="2"/>
  <c r="V44" i="2"/>
  <c r="BB44" i="2"/>
  <c r="AO44" i="2"/>
  <c r="BW44" i="2"/>
  <c r="ED44" i="2"/>
  <c r="AX44" i="2"/>
  <c r="FK44" i="2"/>
  <c r="BI44" i="2"/>
  <c r="ES44" i="2"/>
  <c r="P44" i="2"/>
  <c r="CZ44" i="2"/>
  <c r="GZ44" i="2"/>
  <c r="S36" i="2"/>
  <c r="DK36" i="2"/>
  <c r="HC36" i="2"/>
  <c r="CO36" i="2"/>
  <c r="FY36" i="2"/>
  <c r="BJ36" i="2"/>
  <c r="FZ36" i="2"/>
  <c r="FD27" i="2"/>
  <c r="FV27" i="2"/>
  <c r="AN27" i="2"/>
  <c r="BB27" i="2"/>
  <c r="AQ27" i="2"/>
  <c r="BZ27" i="2"/>
  <c r="CA27" i="2"/>
  <c r="BF27" i="2"/>
  <c r="HK27" i="2"/>
  <c r="DT27" i="2"/>
  <c r="AC27" i="2"/>
  <c r="FI27" i="2"/>
  <c r="HV27" i="2"/>
  <c r="HE13" i="2"/>
  <c r="GJ13" i="2"/>
  <c r="AJ13" i="2"/>
  <c r="DR13" i="2"/>
  <c r="BD13" i="2"/>
  <c r="GS33" i="2"/>
  <c r="HR33" i="2"/>
  <c r="S27" i="2"/>
  <c r="DX27" i="2"/>
  <c r="CP27" i="2"/>
  <c r="CK27" i="2"/>
  <c r="CB27" i="2"/>
  <c r="IA27" i="2"/>
  <c r="EB27" i="2"/>
  <c r="BQ27" i="2"/>
  <c r="GW27" i="2"/>
  <c r="L52" i="2"/>
  <c r="DI52" i="2"/>
  <c r="DE52" i="2"/>
  <c r="HU52" i="2"/>
  <c r="CL27" i="2"/>
  <c r="DW27" i="2"/>
  <c r="HK12" i="2"/>
  <c r="HI12" i="2"/>
  <c r="GV12" i="2"/>
  <c r="FA12" i="2"/>
  <c r="HP12" i="2"/>
  <c r="FD12" i="2"/>
  <c r="CR12" i="2"/>
  <c r="AF12" i="2"/>
  <c r="GI12" i="2"/>
  <c r="DW12" i="2"/>
  <c r="BK12" i="2"/>
  <c r="HV12" i="2"/>
  <c r="FJ12" i="2"/>
  <c r="CX12" i="2"/>
  <c r="AL12" i="2"/>
  <c r="GW12" i="2"/>
  <c r="EK12" i="2"/>
  <c r="BY12" i="2"/>
  <c r="M12" i="2"/>
  <c r="FP12" i="2"/>
  <c r="DD12" i="2"/>
  <c r="AR12" i="2"/>
  <c r="HB12" i="2"/>
  <c r="EP12" i="2"/>
  <c r="CD12" i="2"/>
  <c r="R12" i="2"/>
  <c r="GS12" i="2"/>
  <c r="CE12" i="2"/>
  <c r="FU12" i="2"/>
  <c r="DY12" i="2"/>
  <c r="AQ12" i="2"/>
  <c r="HS12" i="2"/>
  <c r="AG12" i="2"/>
  <c r="GZ12" i="2"/>
  <c r="EN12" i="2"/>
  <c r="CB12" i="2"/>
  <c r="P12" i="2"/>
  <c r="FS12" i="2"/>
  <c r="DG12" i="2"/>
  <c r="AU12" i="2"/>
  <c r="HF12" i="2"/>
  <c r="ET12" i="2"/>
  <c r="CH12" i="2"/>
  <c r="V12" i="2"/>
  <c r="GG12" i="2"/>
  <c r="DU12" i="2"/>
  <c r="BI12" i="2"/>
  <c r="HL12" i="2"/>
  <c r="EZ12" i="2"/>
  <c r="CN12" i="2"/>
  <c r="AB12" i="2"/>
  <c r="GL12" i="2"/>
  <c r="DZ12" i="2"/>
  <c r="BN12" i="2"/>
  <c r="GC12" i="2"/>
  <c r="GE12" i="2"/>
  <c r="S12" i="2"/>
  <c r="DI12" i="2"/>
  <c r="IA12" i="2"/>
  <c r="HY12" i="2"/>
  <c r="FG12" i="2"/>
  <c r="CP12" i="2"/>
  <c r="FZ12" i="2"/>
  <c r="AE12" i="2"/>
  <c r="DO12" i="2"/>
  <c r="BL12" i="2"/>
  <c r="EV12" i="2"/>
  <c r="AE52" i="2"/>
  <c r="CS52" i="2"/>
  <c r="BC52" i="2"/>
  <c r="DA52" i="2"/>
  <c r="FT52" i="2"/>
  <c r="AT52" i="2"/>
  <c r="AK52" i="2"/>
  <c r="DR52" i="2"/>
  <c r="DU52" i="2"/>
  <c r="P52" i="2"/>
  <c r="DV52" i="2"/>
  <c r="Q52" i="2"/>
  <c r="DW52" i="2"/>
  <c r="R52" i="2"/>
  <c r="DX52" i="2"/>
  <c r="S52" i="2"/>
  <c r="DY52" i="2"/>
  <c r="HJ52" i="2"/>
  <c r="FG52" i="2"/>
  <c r="AQ44" i="2"/>
  <c r="HO44" i="2"/>
  <c r="BM44" i="2"/>
  <c r="AZ44" i="2"/>
  <c r="FX44" i="2"/>
  <c r="CI44" i="2"/>
  <c r="HG44" i="2"/>
  <c r="DQ44" i="2"/>
  <c r="Z44" i="2"/>
  <c r="FS44" i="2"/>
  <c r="BG44" i="2"/>
  <c r="GP44" i="2"/>
  <c r="CD44" i="2"/>
  <c r="HL44" i="2"/>
  <c r="CG44" i="2"/>
  <c r="GG44" i="2"/>
  <c r="AV44" i="2"/>
  <c r="EV44" i="2"/>
  <c r="CY36" i="2"/>
  <c r="CN36" i="2"/>
  <c r="BK36" i="2"/>
  <c r="AF36" i="2"/>
  <c r="HP36" i="2"/>
  <c r="GK36" i="2"/>
  <c r="CL36" i="2"/>
  <c r="GD36" i="2"/>
  <c r="BO36" i="2"/>
  <c r="EY36" i="2"/>
  <c r="AC36" i="2"/>
  <c r="DM36" i="2"/>
  <c r="HU36" i="2"/>
  <c r="DN36" i="2"/>
  <c r="HF36" i="2"/>
  <c r="FF27" i="2"/>
  <c r="CE27" i="2"/>
  <c r="DK27" i="2"/>
  <c r="EA27" i="2"/>
  <c r="EF27" i="2"/>
  <c r="DR27" i="2"/>
  <c r="FN27" i="2"/>
  <c r="EY27" i="2"/>
  <c r="AR27" i="2"/>
  <c r="FX27" i="2"/>
  <c r="CO27" i="2"/>
  <c r="HM27" i="2"/>
  <c r="FC27" i="2"/>
  <c r="GY13" i="2"/>
  <c r="EM13" i="2"/>
  <c r="GV13" i="2"/>
  <c r="EJ13" i="2"/>
  <c r="GS13" i="2"/>
  <c r="DK13" i="2"/>
  <c r="AV13" i="2"/>
  <c r="GR13" i="2"/>
  <c r="DJ13" i="2"/>
  <c r="AU13" i="2"/>
  <c r="HA13" i="2"/>
  <c r="DS13" i="2"/>
  <c r="BB13" i="2"/>
  <c r="HK13" i="2"/>
  <c r="EC13" i="2"/>
  <c r="BI13" i="2"/>
  <c r="HJ13" i="2"/>
  <c r="HH13" i="2"/>
  <c r="FK13" i="2"/>
  <c r="HL13" i="2"/>
  <c r="ER13" i="2"/>
  <c r="GH13" i="2"/>
  <c r="CR13" i="2"/>
  <c r="X13" i="2"/>
  <c r="FA13" i="2"/>
  <c r="BS13" i="2"/>
  <c r="HZ13" i="2"/>
  <c r="ED13" i="2"/>
  <c r="AT13" i="2"/>
  <c r="GO13" i="2"/>
  <c r="CX13" i="2"/>
  <c r="AC13" i="2"/>
  <c r="FG13" i="2"/>
  <c r="CF13" i="2"/>
  <c r="T13" i="2"/>
  <c r="FE13" i="2"/>
  <c r="CD13" i="2"/>
  <c r="R13" i="2"/>
  <c r="DB13" i="2"/>
  <c r="EK13" i="2"/>
  <c r="FY13" i="2"/>
  <c r="HI13" i="2"/>
  <c r="BE13" i="2"/>
  <c r="HW13" i="2"/>
  <c r="FC13" i="2"/>
  <c r="HD13" i="2"/>
  <c r="EB13" i="2"/>
  <c r="FW13" i="2"/>
  <c r="CJ13" i="2"/>
  <c r="P13" i="2"/>
  <c r="EP13" i="2"/>
  <c r="BK13" i="2"/>
  <c r="HM13" i="2"/>
  <c r="DI13" i="2"/>
  <c r="AL13" i="2"/>
  <c r="GD13" i="2"/>
  <c r="CO13" i="2"/>
  <c r="U13" i="2"/>
  <c r="EW13" i="2"/>
  <c r="BX13" i="2"/>
  <c r="L13" i="2"/>
  <c r="ET13" i="2"/>
  <c r="BV13" i="2"/>
  <c r="GL13" i="2"/>
  <c r="BU13" i="2"/>
  <c r="CU13" i="2"/>
  <c r="EH13" i="2"/>
  <c r="FQ13" i="2"/>
  <c r="GW13" i="2"/>
  <c r="HO13" i="2"/>
  <c r="EU13" i="2"/>
  <c r="GN13" i="2"/>
  <c r="DT13" i="2"/>
  <c r="FM13" i="2"/>
  <c r="CB13" i="2"/>
  <c r="IA13" i="2"/>
  <c r="EF13" i="2"/>
  <c r="BC13" i="2"/>
  <c r="GP13" i="2"/>
  <c r="CY13" i="2"/>
  <c r="AD13" i="2"/>
  <c r="FT13" i="2"/>
  <c r="CG13" i="2"/>
  <c r="M13" i="2"/>
  <c r="EL13" i="2"/>
  <c r="BP13" i="2"/>
  <c r="HS13" i="2"/>
  <c r="EI13" i="2"/>
  <c r="BN13" i="2"/>
  <c r="EV13" i="2"/>
  <c r="AO13" i="2"/>
  <c r="BO13" i="2"/>
  <c r="CS13" i="2"/>
  <c r="DZ13" i="2"/>
  <c r="FF13" i="2"/>
  <c r="HG13" i="2"/>
  <c r="EE13" i="2"/>
  <c r="GF13" i="2"/>
  <c r="DL13" i="2"/>
  <c r="FB13" i="2"/>
  <c r="BT13" i="2"/>
  <c r="HN13" i="2"/>
  <c r="DU13" i="2"/>
  <c r="AM13" i="2"/>
  <c r="GE13" i="2"/>
  <c r="CP13" i="2"/>
  <c r="V13" i="2"/>
  <c r="FI13" i="2"/>
  <c r="BY13" i="2"/>
  <c r="HV13" i="2"/>
  <c r="EA13" i="2"/>
  <c r="BH13" i="2"/>
  <c r="HF13" i="2"/>
  <c r="DY13" i="2"/>
  <c r="BF13" i="2"/>
  <c r="DE13" i="2"/>
  <c r="FN13" i="2"/>
  <c r="AI13" i="2"/>
  <c r="BM13" i="2"/>
  <c r="CM13" i="2"/>
  <c r="DP13" i="2"/>
  <c r="HP13" i="2"/>
  <c r="HT13" i="2"/>
  <c r="HC13" i="2"/>
  <c r="AF13" i="2"/>
  <c r="CA13" i="2"/>
  <c r="EO13" i="2"/>
  <c r="GZ13" i="2"/>
  <c r="AK13" i="2"/>
  <c r="CN13" i="2"/>
  <c r="FO13" i="2"/>
  <c r="Z13" i="2"/>
  <c r="GB13" i="2"/>
  <c r="K13" i="2"/>
  <c r="DM13" i="2"/>
  <c r="GQ13" i="2"/>
  <c r="FX13" i="2"/>
  <c r="EQ13" i="2"/>
  <c r="HB13" i="2"/>
  <c r="AE13" i="2"/>
  <c r="CH13" i="2"/>
  <c r="EX13" i="2"/>
  <c r="GX13" i="2"/>
  <c r="AZ13" i="2"/>
  <c r="DN13" i="2"/>
  <c r="BW13" i="2"/>
  <c r="GT13" i="2"/>
  <c r="BG13" i="2"/>
  <c r="FS13" i="2"/>
  <c r="EZ13" i="2"/>
  <c r="DA13" i="2"/>
  <c r="FL13" i="2"/>
  <c r="BJ13" i="2"/>
  <c r="DH13" i="2"/>
  <c r="FR13" i="2"/>
  <c r="AB13" i="2"/>
  <c r="CL13" i="2"/>
  <c r="ES13" i="2"/>
  <c r="HR13" i="2"/>
  <c r="DX13" i="2"/>
  <c r="DW13" i="2"/>
  <c r="DD13" i="2"/>
  <c r="BL13" i="2"/>
  <c r="CZ13" i="2"/>
  <c r="FU13" i="2"/>
  <c r="N13" i="2"/>
  <c r="BQ13" i="2"/>
  <c r="DQ13" i="2"/>
  <c r="GU13" i="2"/>
  <c r="AX13" i="2"/>
  <c r="CK13" i="2"/>
  <c r="AG13" i="2"/>
  <c r="CE13" i="2"/>
  <c r="CI13" i="2"/>
  <c r="HQ13" i="2"/>
  <c r="HX13" i="2"/>
  <c r="HN52" i="2"/>
  <c r="HC52" i="2"/>
  <c r="EQ52" i="2"/>
  <c r="CE52" i="2"/>
  <c r="GB52" i="2"/>
  <c r="DG52" i="2"/>
  <c r="AQ52" i="2"/>
  <c r="GK52" i="2"/>
  <c r="DO52" i="2"/>
  <c r="AX52" i="2"/>
  <c r="GJ52" i="2"/>
  <c r="DN52" i="2"/>
  <c r="AW52" i="2"/>
  <c r="GI52" i="2"/>
  <c r="DM52" i="2"/>
  <c r="AV52" i="2"/>
  <c r="GG52" i="2"/>
  <c r="HX52" i="2"/>
  <c r="ET52" i="2"/>
  <c r="BY52" i="2"/>
  <c r="M52" i="2"/>
  <c r="W52" i="2"/>
  <c r="AR52" i="2"/>
  <c r="AM52" i="2"/>
  <c r="AL52" i="2"/>
  <c r="AJ52" i="2"/>
  <c r="AD52" i="2"/>
  <c r="BX52" i="2"/>
  <c r="FD52" i="2"/>
  <c r="GX52" i="2"/>
  <c r="GM52" i="2"/>
  <c r="EA52" i="2"/>
  <c r="HR52" i="2"/>
  <c r="FJ52" i="2"/>
  <c r="CO52" i="2"/>
  <c r="AA52" i="2"/>
  <c r="FR52" i="2"/>
  <c r="CW52" i="2"/>
  <c r="AH52" i="2"/>
  <c r="FQ52" i="2"/>
  <c r="CV52" i="2"/>
  <c r="AG52" i="2"/>
  <c r="FP52" i="2"/>
  <c r="CT52" i="2"/>
  <c r="AF52" i="2"/>
  <c r="FN52" i="2"/>
  <c r="GZ52" i="2"/>
  <c r="EB52" i="2"/>
  <c r="BI52" i="2"/>
  <c r="GC52" i="2"/>
  <c r="HM52" i="2"/>
  <c r="HI52" i="2"/>
  <c r="HA52" i="2"/>
  <c r="GY52" i="2"/>
  <c r="GN52" i="2"/>
  <c r="AB52" i="2"/>
  <c r="EU52" i="2"/>
  <c r="GU52" i="2"/>
  <c r="DK52" i="2"/>
  <c r="GW52" i="2"/>
  <c r="CX52" i="2"/>
  <c r="K52" i="2"/>
  <c r="EG52" i="2"/>
  <c r="AP52" i="2"/>
  <c r="EX52" i="2"/>
  <c r="BM52" i="2"/>
  <c r="FY52" i="2"/>
  <c r="CB52" i="2"/>
  <c r="HB52" i="2"/>
  <c r="DD52" i="2"/>
  <c r="HT52" i="2"/>
  <c r="AJ27" i="2"/>
  <c r="AI12" i="2"/>
  <c r="BM12" i="2"/>
  <c r="HC12" i="2"/>
  <c r="CT12" i="2"/>
  <c r="FV12" i="2"/>
  <c r="DT12" i="2"/>
  <c r="BQ12" i="2"/>
  <c r="GY12" i="2"/>
  <c r="BO12" i="2"/>
  <c r="FM12" i="2"/>
  <c r="HQ12" i="2"/>
  <c r="CS12" i="2"/>
  <c r="BG12" i="2"/>
  <c r="Z12" i="2"/>
  <c r="DB12" i="2"/>
  <c r="GD12" i="2"/>
  <c r="AZ12" i="2"/>
  <c r="EB12" i="2"/>
  <c r="HD12" i="2"/>
  <c r="CG12" i="2"/>
  <c r="FI12" i="2"/>
  <c r="N12" i="2"/>
  <c r="DF12" i="2"/>
  <c r="GH12" i="2"/>
  <c r="AM12" i="2"/>
  <c r="EE12" i="2"/>
  <c r="HG12" i="2"/>
  <c r="BT12" i="2"/>
  <c r="FL12" i="2"/>
  <c r="BB52" i="2"/>
  <c r="DL52" i="2"/>
  <c r="BZ52" i="2"/>
  <c r="EC52" i="2"/>
  <c r="V52" i="2"/>
  <c r="BP52" i="2"/>
  <c r="AS52" i="2"/>
  <c r="EK52" i="2"/>
  <c r="ED52" i="2"/>
  <c r="X52" i="2"/>
  <c r="EE52" i="2"/>
  <c r="Y52" i="2"/>
  <c r="EF52" i="2"/>
  <c r="Z52" i="2"/>
  <c r="EP52" i="2"/>
  <c r="AI52" i="2"/>
  <c r="EH52" i="2"/>
  <c r="HZ52" i="2"/>
  <c r="FO52" i="2"/>
  <c r="HF52" i="2"/>
  <c r="HF44" i="2"/>
  <c r="EI44" i="2"/>
  <c r="DC44" i="2"/>
  <c r="BV44" i="2"/>
  <c r="GI44" i="2"/>
  <c r="DD44" i="2"/>
  <c r="HS44" i="2"/>
  <c r="EL44" i="2"/>
  <c r="AU44" i="2"/>
  <c r="GD44" i="2"/>
  <c r="BR44" i="2"/>
  <c r="HA44" i="2"/>
  <c r="CN44" i="2"/>
  <c r="HZ44" i="2"/>
  <c r="CO44" i="2"/>
  <c r="GW44" i="2"/>
  <c r="BL44" i="2"/>
  <c r="FD44" i="2"/>
  <c r="HI36" i="2"/>
  <c r="GB36" i="2"/>
  <c r="GR36" i="2"/>
  <c r="AO36" i="2"/>
  <c r="FK36" i="2"/>
  <c r="DD36" i="2"/>
  <c r="CQ36" i="2"/>
  <c r="AV36" i="2"/>
  <c r="AG36" i="2"/>
  <c r="HA36" i="2"/>
  <c r="DB36" i="2"/>
  <c r="GT36" i="2"/>
  <c r="BW36" i="2"/>
  <c r="FG36" i="2"/>
  <c r="AK36" i="2"/>
  <c r="DU36" i="2"/>
  <c r="FR36" i="2"/>
  <c r="DF36" i="2"/>
  <c r="AT36" i="2"/>
  <c r="HE36" i="2"/>
  <c r="ES36" i="2"/>
  <c r="CG36" i="2"/>
  <c r="U36" i="2"/>
  <c r="GE36" i="2"/>
  <c r="DS36" i="2"/>
  <c r="BG36" i="2"/>
  <c r="HR36" i="2"/>
  <c r="FF36" i="2"/>
  <c r="CT36" i="2"/>
  <c r="AH36" i="2"/>
  <c r="EO36" i="2"/>
  <c r="Q36" i="2"/>
  <c r="DH36" i="2"/>
  <c r="GY36" i="2"/>
  <c r="CA36" i="2"/>
  <c r="FP36" i="2"/>
  <c r="AR36" i="2"/>
  <c r="EU36" i="2"/>
  <c r="W36" i="2"/>
  <c r="FL36" i="2"/>
  <c r="AJ36" i="2"/>
  <c r="EV36" i="2"/>
  <c r="BD36" i="2"/>
  <c r="BE36" i="2"/>
  <c r="HN36" i="2"/>
  <c r="FB36" i="2"/>
  <c r="CP36" i="2"/>
  <c r="AD36" i="2"/>
  <c r="GO36" i="2"/>
  <c r="EC36" i="2"/>
  <c r="BQ36" i="2"/>
  <c r="IA36" i="2"/>
  <c r="FO36" i="2"/>
  <c r="DC36" i="2"/>
  <c r="AQ36" i="2"/>
  <c r="HB36" i="2"/>
  <c r="EP36" i="2"/>
  <c r="CD36" i="2"/>
  <c r="R36" i="2"/>
  <c r="DI36" i="2"/>
  <c r="GZ36" i="2"/>
  <c r="CB36" i="2"/>
  <c r="FS36" i="2"/>
  <c r="AU36" i="2"/>
  <c r="EJ36" i="2"/>
  <c r="L36" i="2"/>
  <c r="DO36" i="2"/>
  <c r="FM36" i="2"/>
  <c r="CF36" i="2"/>
  <c r="EW36" i="2"/>
  <c r="BP36" i="2"/>
  <c r="T36" i="2"/>
  <c r="CK36" i="2"/>
  <c r="ET36" i="2"/>
  <c r="BR36" i="2"/>
  <c r="HM36" i="2"/>
  <c r="GH36" i="2"/>
  <c r="CX36" i="2"/>
  <c r="N36" i="2"/>
  <c r="FI36" i="2"/>
  <c r="BY36" i="2"/>
  <c r="HK36" i="2"/>
  <c r="EI36" i="2"/>
  <c r="AY36" i="2"/>
  <c r="GL36" i="2"/>
  <c r="DJ36" i="2"/>
  <c r="Z36" i="2"/>
  <c r="CC36" i="2"/>
  <c r="EN36" i="2"/>
  <c r="GI36" i="2"/>
  <c r="O36" i="2"/>
  <c r="BX36" i="2"/>
  <c r="EE36" i="2"/>
  <c r="CJ36" i="2"/>
  <c r="DP36" i="2"/>
  <c r="DA36" i="2"/>
  <c r="ER36" i="2"/>
  <c r="DV36" i="2"/>
  <c r="HV36" i="2"/>
  <c r="AA27" i="2"/>
  <c r="DZ27" i="2"/>
  <c r="DY27" i="2"/>
  <c r="EQ27" i="2"/>
  <c r="GT27" i="2"/>
  <c r="GC27" i="2"/>
  <c r="GD27" i="2"/>
  <c r="FO27" i="2"/>
  <c r="AZ27" i="2"/>
  <c r="GF27" i="2"/>
  <c r="CW27" i="2"/>
  <c r="HU27" i="2"/>
  <c r="Q13" i="2"/>
  <c r="CT13" i="2"/>
  <c r="GC13" i="2"/>
  <c r="BR13" i="2"/>
  <c r="CQ13" i="2"/>
  <c r="CV13" i="2"/>
  <c r="HF35" i="2"/>
  <c r="ET35" i="2"/>
  <c r="CH35" i="2"/>
  <c r="V35" i="2"/>
  <c r="GG35" i="2"/>
  <c r="DU35" i="2"/>
  <c r="BI35" i="2"/>
  <c r="HS35" i="2"/>
  <c r="FG35" i="2"/>
  <c r="CU35" i="2"/>
  <c r="AI35" i="2"/>
  <c r="GT35" i="2"/>
  <c r="EH35" i="2"/>
  <c r="BV35" i="2"/>
  <c r="HL35" i="2"/>
  <c r="CN35" i="2"/>
  <c r="GS35" i="2"/>
  <c r="BU35" i="2"/>
  <c r="FL35" i="2"/>
  <c r="AN35" i="2"/>
  <c r="EE35" i="2"/>
  <c r="HP35" i="2"/>
  <c r="CR35" i="2"/>
  <c r="DI35" i="2"/>
  <c r="HT35" i="2"/>
  <c r="EM35" i="2"/>
  <c r="AW35" i="2"/>
  <c r="CF35" i="2"/>
  <c r="GP35" i="2"/>
  <c r="DV35" i="2"/>
  <c r="BB35" i="2"/>
  <c r="HE35" i="2"/>
  <c r="EK35" i="2"/>
  <c r="BQ35" i="2"/>
  <c r="HK35" i="2"/>
  <c r="EQ35" i="2"/>
  <c r="BW35" i="2"/>
  <c r="HZ35" i="2"/>
  <c r="FF35" i="2"/>
  <c r="CL35" i="2"/>
  <c r="R35" i="2"/>
  <c r="BX35" i="2"/>
  <c r="FM35" i="2"/>
  <c r="Y35" i="2"/>
  <c r="CZ35" i="2"/>
  <c r="GA35" i="2"/>
  <c r="AM35" i="2"/>
  <c r="DH35" i="2"/>
  <c r="BP35" i="2"/>
  <c r="EO35" i="2"/>
  <c r="O35" i="2"/>
  <c r="CC35" i="2"/>
  <c r="GY35" i="2"/>
  <c r="GH35" i="2"/>
  <c r="DN35" i="2"/>
  <c r="AT35" i="2"/>
  <c r="GW35" i="2"/>
  <c r="EC35" i="2"/>
  <c r="BA35" i="2"/>
  <c r="HC35" i="2"/>
  <c r="EI35" i="2"/>
  <c r="BO35" i="2"/>
  <c r="HR35" i="2"/>
  <c r="EX35" i="2"/>
  <c r="CD35" i="2"/>
  <c r="GV35" i="2"/>
  <c r="BH35" i="2"/>
  <c r="EW35" i="2"/>
  <c r="HX35" i="2"/>
  <c r="CJ35" i="2"/>
  <c r="FK35" i="2"/>
  <c r="W35" i="2"/>
  <c r="CB35" i="2"/>
  <c r="AE35" i="2"/>
  <c r="CV35" i="2"/>
  <c r="HO35" i="2"/>
  <c r="AJ35" i="2"/>
  <c r="FE35" i="2"/>
  <c r="FZ35" i="2"/>
  <c r="DF35" i="2"/>
  <c r="AL35" i="2"/>
  <c r="GO35" i="2"/>
  <c r="DM35" i="2"/>
  <c r="AS35" i="2"/>
  <c r="GU35" i="2"/>
  <c r="EA35" i="2"/>
  <c r="BG35" i="2"/>
  <c r="HJ35" i="2"/>
  <c r="EP35" i="2"/>
  <c r="BN35" i="2"/>
  <c r="GF35" i="2"/>
  <c r="AR35" i="2"/>
  <c r="EG35" i="2"/>
  <c r="HH35" i="2"/>
  <c r="BT35" i="2"/>
  <c r="EU35" i="2"/>
  <c r="GZ35" i="2"/>
  <c r="BL35" i="2"/>
  <c r="GK35" i="2"/>
  <c r="BK35" i="2"/>
  <c r="FU35" i="2"/>
  <c r="DY35" i="2"/>
  <c r="AG35" i="2"/>
  <c r="FR35" i="2"/>
  <c r="CX35" i="2"/>
  <c r="AD35" i="2"/>
  <c r="FY35" i="2"/>
  <c r="DE35" i="2"/>
  <c r="AK35" i="2"/>
  <c r="GM35" i="2"/>
  <c r="DS35" i="2"/>
  <c r="AY35" i="2"/>
  <c r="HB35" i="2"/>
  <c r="DZ35" i="2"/>
  <c r="BF35" i="2"/>
  <c r="FP35" i="2"/>
  <c r="AB35" i="2"/>
  <c r="DQ35" i="2"/>
  <c r="GR35" i="2"/>
  <c r="BD35" i="2"/>
  <c r="DO35" i="2"/>
  <c r="GJ35" i="2"/>
  <c r="AV35" i="2"/>
  <c r="ER35" i="2"/>
  <c r="Q35" i="2"/>
  <c r="EB35" i="2"/>
  <c r="DL35" i="2"/>
  <c r="EL35" i="2"/>
  <c r="HU35" i="2"/>
  <c r="CG35" i="2"/>
  <c r="FO35" i="2"/>
  <c r="S35" i="2"/>
  <c r="DB35" i="2"/>
  <c r="DT35" i="2"/>
  <c r="BE35" i="2"/>
  <c r="HG35" i="2"/>
  <c r="EN35" i="2"/>
  <c r="T35" i="2"/>
  <c r="FH35" i="2"/>
  <c r="ED35" i="2"/>
  <c r="HM35" i="2"/>
  <c r="BY35" i="2"/>
  <c r="EY35" i="2"/>
  <c r="K35" i="2"/>
  <c r="CT35" i="2"/>
  <c r="DD35" i="2"/>
  <c r="AO35" i="2"/>
  <c r="GQ35" i="2"/>
  <c r="DX35" i="2"/>
  <c r="GI35" i="2"/>
  <c r="DW35" i="2"/>
  <c r="CP35" i="2"/>
  <c r="FQ35" i="2"/>
  <c r="AC35" i="2"/>
  <c r="DK35" i="2"/>
  <c r="GL35" i="2"/>
  <c r="AX35" i="2"/>
  <c r="L35" i="2"/>
  <c r="GB35" i="2"/>
  <c r="CY35" i="2"/>
  <c r="AF35" i="2"/>
  <c r="HQ35" i="2"/>
  <c r="CA35" i="2"/>
  <c r="HN35" i="2"/>
  <c r="BR35" i="2"/>
  <c r="FA35" i="2"/>
  <c r="M35" i="2"/>
  <c r="CM35" i="2"/>
  <c r="FV35" i="2"/>
  <c r="AH35" i="2"/>
  <c r="HI35" i="2"/>
  <c r="EF35" i="2"/>
  <c r="BS35" i="2"/>
  <c r="GN35" i="2"/>
  <c r="CS35" i="2"/>
  <c r="AU35" i="2"/>
  <c r="GX35" i="2"/>
  <c r="BJ35" i="2"/>
  <c r="ES35" i="2"/>
  <c r="IA35" i="2"/>
  <c r="CE35" i="2"/>
  <c r="FN35" i="2"/>
  <c r="Z35" i="2"/>
  <c r="GC35" i="2"/>
  <c r="DP35" i="2"/>
  <c r="BC35" i="2"/>
  <c r="FC35" i="2"/>
  <c r="AZ35" i="2"/>
  <c r="FS35" i="2"/>
  <c r="FJ35" i="2"/>
  <c r="N35" i="2"/>
  <c r="CW35" i="2"/>
  <c r="GE35" i="2"/>
  <c r="AQ35" i="2"/>
  <c r="DR35" i="2"/>
  <c r="EZ35" i="2"/>
  <c r="DA35" i="2"/>
  <c r="X35" i="2"/>
  <c r="FT35" i="2"/>
  <c r="DG35" i="2"/>
  <c r="CQ35" i="2"/>
  <c r="DX33" i="2"/>
  <c r="AC52" i="2"/>
  <c r="HP52" i="2"/>
  <c r="BY27" i="2"/>
  <c r="CU12" i="2"/>
  <c r="K12" i="2"/>
  <c r="BU12" i="2"/>
  <c r="FE12" i="2"/>
  <c r="DA12" i="2"/>
  <c r="AH12" i="2"/>
  <c r="DJ12" i="2"/>
  <c r="GT12" i="2"/>
  <c r="BH12" i="2"/>
  <c r="EJ12" i="2"/>
  <c r="HT12" i="2"/>
  <c r="CO12" i="2"/>
  <c r="FQ12" i="2"/>
  <c r="AD12" i="2"/>
  <c r="DN12" i="2"/>
  <c r="GP12" i="2"/>
  <c r="BC12" i="2"/>
  <c r="EM12" i="2"/>
  <c r="HO12" i="2"/>
  <c r="CJ12" i="2"/>
  <c r="FT12" i="2"/>
  <c r="AU52" i="2"/>
  <c r="AZ52" i="2"/>
  <c r="CY52" i="2"/>
  <c r="FM52" i="2"/>
  <c r="BK52" i="2"/>
  <c r="CJ52" i="2"/>
  <c r="BA52" i="2"/>
  <c r="FC52" i="2"/>
  <c r="EM52" i="2"/>
  <c r="AN52" i="2"/>
  <c r="EN52" i="2"/>
  <c r="AO52" i="2"/>
  <c r="EO52" i="2"/>
  <c r="BF52" i="2"/>
  <c r="EZ52" i="2"/>
  <c r="AY52" i="2"/>
  <c r="ER52" i="2"/>
  <c r="CM52" i="2"/>
  <c r="FW52" i="2"/>
  <c r="HV52" i="2"/>
  <c r="CE44" i="2"/>
  <c r="FZ44" i="2"/>
  <c r="ET44" i="2"/>
  <c r="CF44" i="2"/>
  <c r="GT44" i="2"/>
  <c r="DO44" i="2"/>
  <c r="N44" i="2"/>
  <c r="FG44" i="2"/>
  <c r="BP44" i="2"/>
  <c r="GN44" i="2"/>
  <c r="CM44" i="2"/>
  <c r="HK44" i="2"/>
  <c r="DJ44" i="2"/>
  <c r="M44" i="2"/>
  <c r="DU44" i="2"/>
  <c r="HE44" i="2"/>
  <c r="CB44" i="2"/>
  <c r="FL44" i="2"/>
  <c r="BU36" i="2"/>
  <c r="EB36" i="2"/>
  <c r="GA36" i="2"/>
  <c r="DT36" i="2"/>
  <c r="DG36" i="2"/>
  <c r="BL36" i="2"/>
  <c r="AW36" i="2"/>
  <c r="HQ36" i="2"/>
  <c r="DR36" i="2"/>
  <c r="HJ36" i="2"/>
  <c r="CE36" i="2"/>
  <c r="FW36" i="2"/>
  <c r="AS36" i="2"/>
  <c r="V36" i="2"/>
  <c r="EP27" i="2"/>
  <c r="AE27" i="2"/>
  <c r="GR27" i="2"/>
  <c r="HI27" i="2"/>
  <c r="K27" i="2"/>
  <c r="HQ27" i="2"/>
  <c r="HR27" i="2"/>
  <c r="HX27" i="2"/>
  <c r="GJ27" i="2"/>
  <c r="BP27" i="2"/>
  <c r="HT27" i="2"/>
  <c r="EC27" i="2"/>
  <c r="FJ27" i="2"/>
  <c r="GI27" i="2"/>
  <c r="CC13" i="2"/>
  <c r="DC13" i="2"/>
  <c r="GM13" i="2"/>
  <c r="BZ13" i="2"/>
  <c r="FV13" i="2"/>
  <c r="FH13" i="2"/>
  <c r="F50" i="2"/>
  <c r="AR50" i="2" s="1"/>
  <c r="GW50" i="2"/>
  <c r="GX50" i="2"/>
  <c r="CI35" i="2"/>
  <c r="GD35" i="2"/>
  <c r="BZ35" i="2"/>
  <c r="GB33" i="2"/>
  <c r="N52" i="2"/>
  <c r="HL52" i="2"/>
  <c r="DF52" i="2"/>
  <c r="EY52" i="2"/>
  <c r="HE27" i="2"/>
  <c r="EA12" i="2"/>
  <c r="BW12" i="2"/>
  <c r="Q12" i="2"/>
  <c r="EG12" i="2"/>
  <c r="Y12" i="2"/>
  <c r="AP12" i="2"/>
  <c r="DR12" i="2"/>
  <c r="HJ12" i="2"/>
  <c r="BP12" i="2"/>
  <c r="ER12" i="2"/>
  <c r="U12" i="2"/>
  <c r="CW12" i="2"/>
  <c r="FY12" i="2"/>
  <c r="AT12" i="2"/>
  <c r="DV12" i="2"/>
  <c r="GX12" i="2"/>
  <c r="BS12" i="2"/>
  <c r="EU12" i="2"/>
  <c r="HW12" i="2"/>
  <c r="CZ12" i="2"/>
  <c r="GB12" i="2"/>
  <c r="BS52" i="2"/>
  <c r="DZ52" i="2"/>
  <c r="T52" i="2"/>
  <c r="CI52" i="2"/>
  <c r="DJ52" i="2"/>
  <c r="BQ52" i="2"/>
  <c r="FL52" i="2"/>
  <c r="EV52" i="2"/>
  <c r="BD52" i="2"/>
  <c r="EW52" i="2"/>
  <c r="BE52" i="2"/>
  <c r="FH52" i="2"/>
  <c r="BN52" i="2"/>
  <c r="FI52" i="2"/>
  <c r="BG52" i="2"/>
  <c r="FA52" i="2"/>
  <c r="CU52" i="2"/>
  <c r="GE52" i="2"/>
  <c r="CH44" i="2"/>
  <c r="FM44" i="2"/>
  <c r="HR44" i="2"/>
  <c r="AD44" i="2"/>
  <c r="CQ44" i="2"/>
  <c r="HQ44" i="2"/>
  <c r="DZ44" i="2"/>
  <c r="BE44" i="2"/>
  <c r="FR44" i="2"/>
  <c r="CL44" i="2"/>
  <c r="GY44" i="2"/>
  <c r="DI44" i="2"/>
  <c r="HY44" i="2"/>
  <c r="EE44" i="2"/>
  <c r="AC44" i="2"/>
  <c r="EC44" i="2"/>
  <c r="HM44" i="2"/>
  <c r="CJ44" i="2"/>
  <c r="FT44" i="2"/>
  <c r="CZ36" i="2"/>
  <c r="X36" i="2"/>
  <c r="FH36" i="2"/>
  <c r="HH36" i="2"/>
  <c r="GQ36" i="2"/>
  <c r="EZ36" i="2"/>
  <c r="DW36" i="2"/>
  <c r="CR36" i="2"/>
  <c r="BM36" i="2"/>
  <c r="AP36" i="2"/>
  <c r="DZ36" i="2"/>
  <c r="HZ36" i="2"/>
  <c r="CM36" i="2"/>
  <c r="GM36" i="2"/>
  <c r="BA36" i="2"/>
  <c r="FA36" i="2"/>
  <c r="AL36" i="2"/>
  <c r="AY27" i="2"/>
  <c r="BU27" i="2"/>
  <c r="HH27" i="2"/>
  <c r="V27" i="2"/>
  <c r="W27" i="2"/>
  <c r="N27" i="2"/>
  <c r="O27" i="2"/>
  <c r="HG27" i="2"/>
  <c r="EU27" i="2"/>
  <c r="HF27" i="2"/>
  <c r="ET27" i="2"/>
  <c r="GG27" i="2"/>
  <c r="DU27" i="2"/>
  <c r="BI27" i="2"/>
  <c r="HL27" i="2"/>
  <c r="EZ27" i="2"/>
  <c r="CN27" i="2"/>
  <c r="AB27" i="2"/>
  <c r="GM27" i="2"/>
  <c r="DV27" i="2"/>
  <c r="AL27" i="2"/>
  <c r="EX27" i="2"/>
  <c r="BE27" i="2"/>
  <c r="FM27" i="2"/>
  <c r="BN27" i="2"/>
  <c r="GB27" i="2"/>
  <c r="BW27" i="2"/>
  <c r="GS27" i="2"/>
  <c r="CH27" i="2"/>
  <c r="GL27" i="2"/>
  <c r="CD27" i="2"/>
  <c r="EN27" i="2"/>
  <c r="GK27" i="2"/>
  <c r="FT27" i="2"/>
  <c r="HZ27" i="2"/>
  <c r="HJ27" i="2"/>
  <c r="GY27" i="2"/>
  <c r="EM27" i="2"/>
  <c r="GX27" i="2"/>
  <c r="EL27" i="2"/>
  <c r="FY27" i="2"/>
  <c r="DM27" i="2"/>
  <c r="BA27" i="2"/>
  <c r="HD27" i="2"/>
  <c r="ER27" i="2"/>
  <c r="CF27" i="2"/>
  <c r="T27" i="2"/>
  <c r="GE27" i="2"/>
  <c r="DI27" i="2"/>
  <c r="Z27" i="2"/>
  <c r="EH27" i="2"/>
  <c r="AU27" i="2"/>
  <c r="EW27" i="2"/>
  <c r="BD27" i="2"/>
  <c r="FL27" i="2"/>
  <c r="BM27" i="2"/>
  <c r="FW27" i="2"/>
  <c r="BV27" i="2"/>
  <c r="FU27" i="2"/>
  <c r="BT27" i="2"/>
  <c r="CM27" i="2"/>
  <c r="GQ27" i="2"/>
  <c r="EE27" i="2"/>
  <c r="GP27" i="2"/>
  <c r="ED27" i="2"/>
  <c r="FQ27" i="2"/>
  <c r="DE27" i="2"/>
  <c r="AS27" i="2"/>
  <c r="GV27" i="2"/>
  <c r="EJ27" i="2"/>
  <c r="BX27" i="2"/>
  <c r="L27" i="2"/>
  <c r="HY27" i="2"/>
  <c r="CX27" i="2"/>
  <c r="P27" i="2"/>
  <c r="DS27" i="2"/>
  <c r="AI27" i="2"/>
  <c r="EG27" i="2"/>
  <c r="AT27" i="2"/>
  <c r="EV27" i="2"/>
  <c r="BC27" i="2"/>
  <c r="FG27" i="2"/>
  <c r="BL27" i="2"/>
  <c r="FE27" i="2"/>
  <c r="BJ27" i="2"/>
  <c r="AW27" i="2"/>
  <c r="CC27" i="2"/>
  <c r="BS27" i="2"/>
  <c r="CY27" i="2"/>
  <c r="HW27" i="2"/>
  <c r="DO27" i="2"/>
  <c r="FB27" i="2"/>
  <c r="ES27" i="2"/>
  <c r="AK27" i="2"/>
  <c r="FP27" i="2"/>
  <c r="BH27" i="2"/>
  <c r="GU27" i="2"/>
  <c r="BR27" i="2"/>
  <c r="DH27" i="2"/>
  <c r="GZ27" i="2"/>
  <c r="X27" i="2"/>
  <c r="CI27" i="2"/>
  <c r="DP27" i="2"/>
  <c r="EO27" i="2"/>
  <c r="R27" i="2"/>
  <c r="AM27" i="2"/>
  <c r="DA27" i="2"/>
  <c r="CQ27" i="2"/>
  <c r="FS27" i="2"/>
  <c r="GH27" i="2"/>
  <c r="FK27" i="2"/>
  <c r="FZ27" i="2"/>
  <c r="GO27" i="2"/>
  <c r="CG27" i="2"/>
  <c r="GN27" i="2"/>
  <c r="DD27" i="2"/>
  <c r="HS27" i="2"/>
  <c r="EI27" i="2"/>
  <c r="HA27" i="2"/>
  <c r="Y27" i="2"/>
  <c r="CJ27" i="2"/>
  <c r="DQ27" i="2"/>
  <c r="HP27" i="2"/>
  <c r="AF27" i="2"/>
  <c r="AX27" i="2"/>
  <c r="AO27" i="2"/>
  <c r="DJ27" i="2"/>
  <c r="Q27" i="2"/>
  <c r="HB27" i="2"/>
  <c r="CV27" i="2"/>
  <c r="M27" i="2"/>
  <c r="EK27" i="2"/>
  <c r="FR27" i="2"/>
  <c r="HO27" i="2"/>
  <c r="S13" i="2"/>
  <c r="HU13" i="2"/>
  <c r="FZ13" i="2"/>
  <c r="AS13" i="2"/>
  <c r="EY13" i="2"/>
  <c r="GG13" i="2"/>
  <c r="FP13" i="2"/>
  <c r="HW35" i="2"/>
  <c r="AA35" i="2"/>
  <c r="FB35" i="2"/>
  <c r="EJ52" i="2"/>
  <c r="HO52" i="2"/>
  <c r="HQ52" i="2"/>
  <c r="DP52" i="2"/>
  <c r="GH52" i="2"/>
  <c r="GQ52" i="2"/>
  <c r="CR52" i="2"/>
  <c r="FK52" i="2"/>
  <c r="BJ52" i="2"/>
  <c r="DH52" i="2"/>
  <c r="ES52" i="2"/>
  <c r="CH52" i="2"/>
  <c r="FU52" i="2"/>
  <c r="FE52" i="2"/>
  <c r="BL52" i="2"/>
  <c r="FF52" i="2"/>
  <c r="BU52" i="2"/>
  <c r="FZ52" i="2"/>
  <c r="BV52" i="2"/>
  <c r="GA52" i="2"/>
  <c r="BO52" i="2"/>
  <c r="FS52" i="2"/>
  <c r="DC52" i="2"/>
  <c r="HK52" i="2"/>
  <c r="EZ44" i="2"/>
  <c r="AS44" i="2"/>
  <c r="EK44" i="2"/>
  <c r="HN44" i="2"/>
  <c r="CR44" i="2"/>
  <c r="GJ44" i="2"/>
  <c r="BB36" i="2"/>
  <c r="FJ36" i="2"/>
  <c r="BG27" i="2"/>
  <c r="DN27" i="2"/>
  <c r="AD27" i="2"/>
  <c r="AP27" i="2"/>
  <c r="AG27" i="2"/>
  <c r="AH27" i="2"/>
  <c r="BO27" i="2"/>
  <c r="AV27" i="2"/>
  <c r="HC27" i="2"/>
  <c r="DL27" i="2"/>
  <c r="U27" i="2"/>
  <c r="FA27" i="2"/>
  <c r="HN27" i="2"/>
  <c r="AY13" i="2"/>
  <c r="Y13" i="2"/>
  <c r="GK13" i="2"/>
  <c r="BA13" i="2"/>
  <c r="FJ13" i="2"/>
  <c r="AN13" i="2"/>
  <c r="DG13" i="2"/>
  <c r="GH33" i="2"/>
  <c r="HS33" i="2"/>
  <c r="EX33" i="2"/>
  <c r="FX33" i="2"/>
  <c r="DF33" i="2"/>
  <c r="AT33" i="2"/>
  <c r="HH33" i="2"/>
  <c r="EM33" i="2"/>
  <c r="BY33" i="2"/>
  <c r="M33" i="2"/>
  <c r="FM33" i="2"/>
  <c r="CV33" i="2"/>
  <c r="AJ33" i="2"/>
  <c r="GK33" i="2"/>
  <c r="DQ33" i="2"/>
  <c r="BE33" i="2"/>
  <c r="FQ33" i="2"/>
  <c r="AF33" i="2"/>
  <c r="CQ33" i="2"/>
  <c r="FK33" i="2"/>
  <c r="AA33" i="2"/>
  <c r="CL33" i="2"/>
  <c r="FC33" i="2"/>
  <c r="X33" i="2"/>
  <c r="CE33" i="2"/>
  <c r="FA33" i="2"/>
  <c r="BS33" i="2"/>
  <c r="CY33" i="2"/>
  <c r="HN33" i="2"/>
  <c r="FB33" i="2"/>
  <c r="GI33" i="2"/>
  <c r="HI33" i="2"/>
  <c r="EN33" i="2"/>
  <c r="BZ33" i="2"/>
  <c r="N33" i="2"/>
  <c r="FW33" i="2"/>
  <c r="DE33" i="2"/>
  <c r="AS33" i="2"/>
  <c r="GW33" i="2"/>
  <c r="EB33" i="2"/>
  <c r="BP33" i="2"/>
  <c r="HU33" i="2"/>
  <c r="EZ33" i="2"/>
  <c r="CK33" i="2"/>
  <c r="Y33" i="2"/>
  <c r="CR33" i="2"/>
  <c r="FL33" i="2"/>
  <c r="AE33" i="2"/>
  <c r="CM33" i="2"/>
  <c r="FH33" i="2"/>
  <c r="Z33" i="2"/>
  <c r="CJ33" i="2"/>
  <c r="EY33" i="2"/>
  <c r="S33" i="2"/>
  <c r="CD33" i="2"/>
  <c r="GA33" i="2"/>
  <c r="FJ33" i="2"/>
  <c r="FP33" i="2"/>
  <c r="FO33" i="2"/>
  <c r="CH33" i="2"/>
  <c r="HZ33" i="2"/>
  <c r="EC33" i="2"/>
  <c r="BA33" i="2"/>
  <c r="GE33" i="2"/>
  <c r="CN33" i="2"/>
  <c r="L33" i="2"/>
  <c r="EH33" i="2"/>
  <c r="AW33" i="2"/>
  <c r="DH33" i="2"/>
  <c r="DW33" i="2"/>
  <c r="EJ33" i="2"/>
  <c r="GD33" i="2"/>
  <c r="HB33" i="2"/>
  <c r="HT33" i="2"/>
  <c r="AI33" i="2"/>
  <c r="HW33" i="2"/>
  <c r="AX33" i="2"/>
  <c r="ET33" i="2"/>
  <c r="FG33" i="2"/>
  <c r="FF33" i="2"/>
  <c r="BR33" i="2"/>
  <c r="HQ33" i="2"/>
  <c r="DU33" i="2"/>
  <c r="AK33" i="2"/>
  <c r="FV33" i="2"/>
  <c r="CF33" i="2"/>
  <c r="HL33" i="2"/>
  <c r="DY33" i="2"/>
  <c r="AO33" i="2"/>
  <c r="CB33" i="2"/>
  <c r="DG33" i="2"/>
  <c r="DS33" i="2"/>
  <c r="EI33" i="2"/>
  <c r="GC33" i="2"/>
  <c r="GU33" i="2"/>
  <c r="FT33" i="2"/>
  <c r="EF33" i="2"/>
  <c r="BC33" i="2"/>
  <c r="HV33" i="2"/>
  <c r="EL33" i="2"/>
  <c r="EO33" i="2"/>
  <c r="EW33" i="2"/>
  <c r="BJ33" i="2"/>
  <c r="GY33" i="2"/>
  <c r="DM33" i="2"/>
  <c r="AC33" i="2"/>
  <c r="FD33" i="2"/>
  <c r="BX33" i="2"/>
  <c r="HC33" i="2"/>
  <c r="DI33" i="2"/>
  <c r="AG33" i="2"/>
  <c r="BL33" i="2"/>
  <c r="CA33" i="2"/>
  <c r="DC33" i="2"/>
  <c r="DR33" i="2"/>
  <c r="EG33" i="2"/>
  <c r="FU33" i="2"/>
  <c r="CT33" i="2"/>
  <c r="HO33" i="2"/>
  <c r="AM33" i="2"/>
  <c r="HF33" i="2"/>
  <c r="ED33" i="2"/>
  <c r="IA33" i="2"/>
  <c r="EE33" i="2"/>
  <c r="BB33" i="2"/>
  <c r="GO33" i="2"/>
  <c r="CW33" i="2"/>
  <c r="U33" i="2"/>
  <c r="EU33" i="2"/>
  <c r="BH33" i="2"/>
  <c r="GT33" i="2"/>
  <c r="DA33" i="2"/>
  <c r="Q33" i="2"/>
  <c r="AV33" i="2"/>
  <c r="BK33" i="2"/>
  <c r="BW33" i="2"/>
  <c r="DB33" i="2"/>
  <c r="DP33" i="2"/>
  <c r="EA33" i="2"/>
  <c r="AH33" i="2"/>
  <c r="DZ33" i="2"/>
  <c r="GV33" i="2"/>
  <c r="GP33" i="2"/>
  <c r="HA33" i="2"/>
  <c r="GZ33" i="2"/>
  <c r="DN33" i="2"/>
  <c r="AD33" i="2"/>
  <c r="FN33" i="2"/>
  <c r="CG33" i="2"/>
  <c r="HP33" i="2"/>
  <c r="DT33" i="2"/>
  <c r="AR33" i="2"/>
  <c r="FS33" i="2"/>
  <c r="CC33" i="2"/>
  <c r="GM33" i="2"/>
  <c r="HK33" i="2"/>
  <c r="O33" i="2"/>
  <c r="AQ33" i="2"/>
  <c r="BF33" i="2"/>
  <c r="BT33" i="2"/>
  <c r="CU33" i="2"/>
  <c r="W33" i="2"/>
  <c r="GQ33" i="2"/>
  <c r="GF33" i="2"/>
  <c r="GN33" i="2"/>
  <c r="FI33" i="2"/>
  <c r="P33" i="2"/>
  <c r="HD33" i="2"/>
  <c r="BO33" i="2"/>
  <c r="DJ33" i="2"/>
  <c r="GX33" i="2"/>
  <c r="GG33" i="2"/>
  <c r="FE33" i="2"/>
  <c r="EK33" i="2"/>
  <c r="EQ33" i="2"/>
  <c r="GL33" i="2"/>
  <c r="BV33" i="2"/>
  <c r="AY33" i="2"/>
  <c r="DO33" i="2"/>
  <c r="FZ33" i="2"/>
  <c r="DV33" i="2"/>
  <c r="EV33" i="2"/>
  <c r="DL33" i="2"/>
  <c r="CS33" i="2"/>
  <c r="EP33" i="2"/>
  <c r="AP33" i="2"/>
  <c r="CI33" i="2"/>
  <c r="FR33" i="2"/>
  <c r="CX33" i="2"/>
  <c r="CO33" i="2"/>
  <c r="DD33" i="2"/>
  <c r="BU33" i="2"/>
  <c r="AU33" i="2"/>
  <c r="HX33" i="2"/>
  <c r="ES33" i="2"/>
  <c r="HJ33" i="2"/>
  <c r="CP33" i="2"/>
  <c r="BQ33" i="2"/>
  <c r="AZ33" i="2"/>
  <c r="BM33" i="2"/>
  <c r="HE33" i="2"/>
  <c r="CZ33" i="2"/>
  <c r="R33" i="2"/>
  <c r="GR33" i="2"/>
  <c r="AL33" i="2"/>
  <c r="BI33" i="2"/>
  <c r="AB33" i="2"/>
  <c r="HM33" i="2"/>
  <c r="GJ33" i="2"/>
  <c r="BD33" i="2"/>
  <c r="BN33" i="2"/>
  <c r="FY33" i="2"/>
  <c r="V33" i="2"/>
  <c r="HY33" i="2"/>
  <c r="T33" i="2"/>
  <c r="ER33" i="2"/>
  <c r="BG33" i="2"/>
  <c r="AN33" i="2"/>
  <c r="HZ16" i="2"/>
  <c r="FN16" i="2"/>
  <c r="DB16" i="2"/>
  <c r="AP16" i="2"/>
  <c r="GS16" i="2"/>
  <c r="EG16" i="2"/>
  <c r="BU16" i="2"/>
  <c r="HX16" i="2"/>
  <c r="FL16" i="2"/>
  <c r="CZ16" i="2"/>
  <c r="AN16" i="2"/>
  <c r="GQ16" i="2"/>
  <c r="EE16" i="2"/>
  <c r="BS16" i="2"/>
  <c r="FR16" i="2"/>
  <c r="DF16" i="2"/>
  <c r="AT16" i="2"/>
  <c r="HD16" i="2"/>
  <c r="ER16" i="2"/>
  <c r="CF16" i="2"/>
  <c r="T16" i="2"/>
  <c r="M16" i="2"/>
  <c r="K16" i="2"/>
  <c r="HS16" i="2"/>
  <c r="GG16" i="2"/>
  <c r="ES16" i="2"/>
  <c r="GE16" i="2"/>
  <c r="AA16" i="2"/>
  <c r="HB16" i="2"/>
  <c r="EH16" i="2"/>
  <c r="BN16" i="2"/>
  <c r="HI16" i="2"/>
  <c r="EO16" i="2"/>
  <c r="BM16" i="2"/>
  <c r="HH16" i="2"/>
  <c r="EN16" i="2"/>
  <c r="BT16" i="2"/>
  <c r="HO16" i="2"/>
  <c r="EU16" i="2"/>
  <c r="CA16" i="2"/>
  <c r="FJ16" i="2"/>
  <c r="CP16" i="2"/>
  <c r="V16" i="2"/>
  <c r="FX16" i="2"/>
  <c r="DD16" i="2"/>
  <c r="AJ16" i="2"/>
  <c r="AS16" i="2"/>
  <c r="HU16" i="2"/>
  <c r="FG16" i="2"/>
  <c r="CO16" i="2"/>
  <c r="U16" i="2"/>
  <c r="HC16" i="2"/>
  <c r="FV16" i="2"/>
  <c r="CT16" i="2"/>
  <c r="Z16" i="2"/>
  <c r="FU16" i="2"/>
  <c r="DA16" i="2"/>
  <c r="AG16" i="2"/>
  <c r="GB16" i="2"/>
  <c r="DH16" i="2"/>
  <c r="AF16" i="2"/>
  <c r="GA16" i="2"/>
  <c r="DG16" i="2"/>
  <c r="AM16" i="2"/>
  <c r="GX16" i="2"/>
  <c r="ED16" i="2"/>
  <c r="BJ16" i="2"/>
  <c r="HL16" i="2"/>
  <c r="EJ16" i="2"/>
  <c r="BP16" i="2"/>
  <c r="FQ16" i="2"/>
  <c r="EI16" i="2"/>
  <c r="CW16" i="2"/>
  <c r="AI16" i="2"/>
  <c r="FY16" i="2"/>
  <c r="DK16" i="2"/>
  <c r="AY16" i="2"/>
  <c r="HJ16" i="2"/>
  <c r="EP16" i="2"/>
  <c r="BV16" i="2"/>
  <c r="HQ16" i="2"/>
  <c r="EW16" i="2"/>
  <c r="CC16" i="2"/>
  <c r="HP16" i="2"/>
  <c r="EV16" i="2"/>
  <c r="CB16" i="2"/>
  <c r="HW16" i="2"/>
  <c r="FC16" i="2"/>
  <c r="CI16" i="2"/>
  <c r="O16" i="2"/>
  <c r="FZ16" i="2"/>
  <c r="CX16" i="2"/>
  <c r="AD16" i="2"/>
  <c r="GF16" i="2"/>
  <c r="DL16" i="2"/>
  <c r="AR16" i="2"/>
  <c r="BY16" i="2"/>
  <c r="AQ16" i="2"/>
  <c r="GM16" i="2"/>
  <c r="DU16" i="2"/>
  <c r="BA16" i="2"/>
  <c r="EY16" i="2"/>
  <c r="DR16" i="2"/>
  <c r="HY16" i="2"/>
  <c r="DI16" i="2"/>
  <c r="GZ16" i="2"/>
  <c r="CR16" i="2"/>
  <c r="GY16" i="2"/>
  <c r="CQ16" i="2"/>
  <c r="HN16" i="2"/>
  <c r="DN16" i="2"/>
  <c r="HT16" i="2"/>
  <c r="CV16" i="2"/>
  <c r="EK16" i="2"/>
  <c r="FI16" i="2"/>
  <c r="FA16" i="2"/>
  <c r="DS16" i="2"/>
  <c r="HR16" i="2"/>
  <c r="DJ16" i="2"/>
  <c r="HA16" i="2"/>
  <c r="CS16" i="2"/>
  <c r="GR16" i="2"/>
  <c r="CJ16" i="2"/>
  <c r="GI16" i="2"/>
  <c r="BK16" i="2"/>
  <c r="HF16" i="2"/>
  <c r="CH16" i="2"/>
  <c r="GV16" i="2"/>
  <c r="CN16" i="2"/>
  <c r="DE16" i="2"/>
  <c r="EC16" i="2"/>
  <c r="BI16" i="2"/>
  <c r="HK16" i="2"/>
  <c r="GT16" i="2"/>
  <c r="CL16" i="2"/>
  <c r="GK16" i="2"/>
  <c r="CK16" i="2"/>
  <c r="GJ16" i="2"/>
  <c r="BL16" i="2"/>
  <c r="FS16" i="2"/>
  <c r="BC16" i="2"/>
  <c r="GP16" i="2"/>
  <c r="BZ16" i="2"/>
  <c r="GN16" i="2"/>
  <c r="BX16" i="2"/>
  <c r="IA16" i="2"/>
  <c r="BQ16" i="2"/>
  <c r="AC16" i="2"/>
  <c r="CM16" i="2"/>
  <c r="GL16" i="2"/>
  <c r="CD16" i="2"/>
  <c r="GC16" i="2"/>
  <c r="BE16" i="2"/>
  <c r="FT16" i="2"/>
  <c r="BD16" i="2"/>
  <c r="FK16" i="2"/>
  <c r="AU16" i="2"/>
  <c r="GH16" i="2"/>
  <c r="BR16" i="2"/>
  <c r="FP16" i="2"/>
  <c r="BH16" i="2"/>
  <c r="GU16" i="2"/>
  <c r="AK16" i="2"/>
  <c r="HE16" i="2"/>
  <c r="CE16" i="2"/>
  <c r="FF16" i="2"/>
  <c r="AX16" i="2"/>
  <c r="FE16" i="2"/>
  <c r="AO16" i="2"/>
  <c r="EF16" i="2"/>
  <c r="X16" i="2"/>
  <c r="DW16" i="2"/>
  <c r="W16" i="2"/>
  <c r="ET16" i="2"/>
  <c r="AL16" i="2"/>
  <c r="EZ16" i="2"/>
  <c r="AB16" i="2"/>
  <c r="DC16" i="2"/>
  <c r="CU16" i="2"/>
  <c r="CG16" i="2"/>
  <c r="FW16" i="2"/>
  <c r="EX16" i="2"/>
  <c r="AH16" i="2"/>
  <c r="DY16" i="2"/>
  <c r="Y16" i="2"/>
  <c r="DX16" i="2"/>
  <c r="P16" i="2"/>
  <c r="DO16" i="2"/>
  <c r="EL16" i="2"/>
  <c r="N16" i="2"/>
  <c r="EB16" i="2"/>
  <c r="L16" i="2"/>
  <c r="BW16" i="2"/>
  <c r="BO16" i="2"/>
  <c r="EQ16" i="2"/>
  <c r="DQ16" i="2"/>
  <c r="CY16" i="2"/>
  <c r="FH16" i="2"/>
  <c r="DM16" i="2"/>
  <c r="AW16" i="2"/>
  <c r="AE16" i="2"/>
  <c r="DT16" i="2"/>
  <c r="S16" i="2"/>
  <c r="Q16" i="2"/>
  <c r="AZ16" i="2"/>
  <c r="BG16" i="2"/>
  <c r="GD16" i="2"/>
  <c r="FD16" i="2"/>
  <c r="HV16" i="2"/>
  <c r="GW16" i="2"/>
  <c r="DZ16" i="2"/>
  <c r="DP16" i="2"/>
  <c r="FB16" i="2"/>
  <c r="FO16" i="2"/>
  <c r="BF16" i="2"/>
  <c r="AV16" i="2"/>
  <c r="DV16" i="2"/>
  <c r="GO16" i="2"/>
  <c r="R16" i="2"/>
  <c r="HG16" i="2"/>
  <c r="BB16" i="2"/>
  <c r="EA16" i="2"/>
  <c r="DY31" i="2"/>
  <c r="AJ51" i="2"/>
  <c r="BJ51" i="2"/>
  <c r="GX51" i="2"/>
  <c r="DV51" i="2"/>
  <c r="U51" i="2"/>
  <c r="HU51" i="2"/>
  <c r="CC51" i="2"/>
  <c r="AH51" i="2"/>
  <c r="HZ51" i="2"/>
  <c r="AA7" i="2"/>
  <c r="EW7" i="2"/>
  <c r="DB7" i="2"/>
  <c r="DT7" i="2"/>
  <c r="CW7" i="2"/>
  <c r="CX7" i="2"/>
  <c r="BC7" i="2"/>
  <c r="BL7" i="2"/>
  <c r="GT49" i="2"/>
  <c r="F31" i="2"/>
  <c r="HH31" i="2" s="1"/>
  <c r="DZ7" i="2"/>
  <c r="EB7" i="2"/>
  <c r="FA7" i="2"/>
  <c r="DV7" i="2"/>
  <c r="DG7" i="2"/>
  <c r="F6" i="2"/>
  <c r="DY6" i="2" s="1"/>
  <c r="AB6" i="2"/>
  <c r="HX7" i="2"/>
  <c r="FL7" i="2"/>
  <c r="CZ7" i="2"/>
  <c r="AN7" i="2"/>
  <c r="GQ7" i="2"/>
  <c r="EE7" i="2"/>
  <c r="BS7" i="2"/>
  <c r="FR7" i="2"/>
  <c r="DF7" i="2"/>
  <c r="AT7" i="2"/>
  <c r="HE7" i="2"/>
  <c r="ES7" i="2"/>
  <c r="CG7" i="2"/>
  <c r="U7" i="2"/>
  <c r="FX7" i="2"/>
  <c r="DL7" i="2"/>
  <c r="AZ7" i="2"/>
  <c r="HJ7" i="2"/>
  <c r="EX7" i="2"/>
  <c r="CL7" i="2"/>
  <c r="Z7" i="2"/>
  <c r="AO7" i="2"/>
  <c r="BO7" i="2"/>
  <c r="BW7" i="2"/>
  <c r="GE7" i="2"/>
  <c r="GU7" i="2"/>
  <c r="EI7" i="2"/>
  <c r="CC7" i="2"/>
  <c r="GR7" i="2"/>
  <c r="EF7" i="2"/>
  <c r="BT7" i="2"/>
  <c r="HW7" i="2"/>
  <c r="FK7" i="2"/>
  <c r="CY7" i="2"/>
  <c r="AM7" i="2"/>
  <c r="GX7" i="2"/>
  <c r="EL7" i="2"/>
  <c r="BZ7" i="2"/>
  <c r="N7" i="2"/>
  <c r="FY7" i="2"/>
  <c r="DM7" i="2"/>
  <c r="BA7" i="2"/>
  <c r="HD7" i="2"/>
  <c r="ER7" i="2"/>
  <c r="CF7" i="2"/>
  <c r="T7" i="2"/>
  <c r="GD7" i="2"/>
  <c r="DR7" i="2"/>
  <c r="BF7" i="2"/>
  <c r="FM7" i="2"/>
  <c r="GM7" i="2"/>
  <c r="BE7" i="2"/>
  <c r="DY7" i="2"/>
  <c r="CK7" i="2"/>
  <c r="CM7" i="2"/>
  <c r="DK7" i="2"/>
  <c r="HH7" i="2"/>
  <c r="DX7" i="2"/>
  <c r="AV7" i="2"/>
  <c r="GA7" i="2"/>
  <c r="CQ7" i="2"/>
  <c r="O7" i="2"/>
  <c r="FJ7" i="2"/>
  <c r="CH7" i="2"/>
  <c r="HU7" i="2"/>
  <c r="EK7" i="2"/>
  <c r="BI7" i="2"/>
  <c r="GN7" i="2"/>
  <c r="DD7" i="2"/>
  <c r="AB7" i="2"/>
  <c r="FN7" i="2"/>
  <c r="CD7" i="2"/>
  <c r="GS7" i="2"/>
  <c r="EA7" i="2"/>
  <c r="HQ7" i="2"/>
  <c r="GC7" i="2"/>
  <c r="DQ7" i="2"/>
  <c r="FO7" i="2"/>
  <c r="GZ7" i="2"/>
  <c r="DP7" i="2"/>
  <c r="AF7" i="2"/>
  <c r="FS7" i="2"/>
  <c r="CI7" i="2"/>
  <c r="FB7" i="2"/>
  <c r="BR7" i="2"/>
  <c r="HM7" i="2"/>
  <c r="EC7" i="2"/>
  <c r="AS7" i="2"/>
  <c r="GF7" i="2"/>
  <c r="CV7" i="2"/>
  <c r="L7" i="2"/>
  <c r="FF7" i="2"/>
  <c r="BV7" i="2"/>
  <c r="EG7" i="2"/>
  <c r="CU7" i="2"/>
  <c r="GK7" i="2"/>
  <c r="Y7" i="2"/>
  <c r="EO7" i="2"/>
  <c r="K7" i="2"/>
  <c r="GJ7" i="2"/>
  <c r="DH7" i="2"/>
  <c r="X7" i="2"/>
  <c r="FC7" i="2"/>
  <c r="CA7" i="2"/>
  <c r="HV7" i="2"/>
  <c r="ET7" i="2"/>
  <c r="BJ7" i="2"/>
  <c r="GW7" i="2"/>
  <c r="DU7" i="2"/>
  <c r="AK7" i="2"/>
  <c r="FP7" i="2"/>
  <c r="CN7" i="2"/>
  <c r="HZ7" i="2"/>
  <c r="EP7" i="2"/>
  <c r="BN7" i="2"/>
  <c r="DA7" i="2"/>
  <c r="AI7" i="2"/>
  <c r="FE7" i="2"/>
  <c r="DI7" i="2"/>
  <c r="HC7" i="2"/>
  <c r="GB7" i="2"/>
  <c r="CR7" i="2"/>
  <c r="P7" i="2"/>
  <c r="EU7" i="2"/>
  <c r="BK7" i="2"/>
  <c r="HN7" i="2"/>
  <c r="ED7" i="2"/>
  <c r="BB7" i="2"/>
  <c r="GO7" i="2"/>
  <c r="DE7" i="2"/>
  <c r="AC7" i="2"/>
  <c r="FH7" i="2"/>
  <c r="BX7" i="2"/>
  <c r="HR7" i="2"/>
  <c r="EH7" i="2"/>
  <c r="AX7" i="2"/>
  <c r="BU7" i="2"/>
  <c r="HI7" i="2"/>
  <c r="CS7" i="2"/>
  <c r="Q7" i="2"/>
  <c r="FW7" i="2"/>
  <c r="FD7" i="2"/>
  <c r="CB7" i="2"/>
  <c r="HG7" i="2"/>
  <c r="DW7" i="2"/>
  <c r="AU7" i="2"/>
  <c r="GP7" i="2"/>
  <c r="DN7" i="2"/>
  <c r="AD7" i="2"/>
  <c r="FQ7" i="2"/>
  <c r="CO7" i="2"/>
  <c r="HT7" i="2"/>
  <c r="EJ7" i="2"/>
  <c r="BH7" i="2"/>
  <c r="GT7" i="2"/>
  <c r="DJ7" i="2"/>
  <c r="AH7" i="2"/>
  <c r="DC7" i="2"/>
  <c r="HA7" i="2"/>
  <c r="AG7" i="2"/>
  <c r="HK7" i="2"/>
  <c r="CE7" i="2"/>
  <c r="HF7" i="2"/>
  <c r="GI7" i="2"/>
  <c r="FT7" i="2"/>
  <c r="FW51" i="2"/>
  <c r="DK51" i="2"/>
  <c r="AY51" i="2"/>
  <c r="HJ51" i="2"/>
  <c r="EX51" i="2"/>
  <c r="CL51" i="2"/>
  <c r="Z51" i="2"/>
  <c r="GC51" i="2"/>
  <c r="DQ51" i="2"/>
  <c r="BE51" i="2"/>
  <c r="HH51" i="2"/>
  <c r="EV51" i="2"/>
  <c r="HM51" i="2"/>
  <c r="FA51" i="2"/>
  <c r="EU51" i="2"/>
  <c r="AF51" i="2"/>
  <c r="CQ51" i="2"/>
  <c r="HW51" i="2"/>
  <c r="CB51" i="2"/>
  <c r="GY51" i="2"/>
  <c r="BP51" i="2"/>
  <c r="FH51" i="2"/>
  <c r="AM51" i="2"/>
  <c r="DM51" i="2"/>
  <c r="L51" i="2"/>
  <c r="CV51" i="2"/>
  <c r="V51" i="2"/>
  <c r="M51" i="2"/>
  <c r="GU51" i="2"/>
  <c r="EA51" i="2"/>
  <c r="BG51" i="2"/>
  <c r="HB51" i="2"/>
  <c r="EH51" i="2"/>
  <c r="BN51" i="2"/>
  <c r="HI51" i="2"/>
  <c r="EO51" i="2"/>
  <c r="BU51" i="2"/>
  <c r="HP51" i="2"/>
  <c r="EN51" i="2"/>
  <c r="GW51" i="2"/>
  <c r="EC51" i="2"/>
  <c r="CG51" i="2"/>
  <c r="ET51" i="2"/>
  <c r="T51" i="2"/>
  <c r="CP51" i="2"/>
  <c r="GF51" i="2"/>
  <c r="AN51" i="2"/>
  <c r="CY51" i="2"/>
  <c r="GQ51" i="2"/>
  <c r="AV51" i="2"/>
  <c r="AZ51" i="2"/>
  <c r="BT51" i="2"/>
  <c r="GV51" i="2"/>
  <c r="GM51" i="2"/>
  <c r="DS51" i="2"/>
  <c r="AQ51" i="2"/>
  <c r="GT51" i="2"/>
  <c r="DZ51" i="2"/>
  <c r="BF51" i="2"/>
  <c r="HA51" i="2"/>
  <c r="EG51" i="2"/>
  <c r="BM51" i="2"/>
  <c r="GZ51" i="2"/>
  <c r="EF51" i="2"/>
  <c r="GO51" i="2"/>
  <c r="DU51" i="2"/>
  <c r="BS51" i="2"/>
  <c r="DW51" i="2"/>
  <c r="BQ51" i="2"/>
  <c r="FJ51" i="2"/>
  <c r="AC51" i="2"/>
  <c r="CN51" i="2"/>
  <c r="FX51" i="2"/>
  <c r="AK51" i="2"/>
  <c r="FS51" i="2"/>
  <c r="DN51" i="2"/>
  <c r="X51" i="2"/>
  <c r="GE51" i="2"/>
  <c r="DC51" i="2"/>
  <c r="AI51" i="2"/>
  <c r="GL51" i="2"/>
  <c r="DR51" i="2"/>
  <c r="AX51" i="2"/>
  <c r="GS51" i="2"/>
  <c r="DY51" i="2"/>
  <c r="AW51" i="2"/>
  <c r="GR51" i="2"/>
  <c r="DX51" i="2"/>
  <c r="GG51" i="2"/>
  <c r="HG51" i="2"/>
  <c r="BH51" i="2"/>
  <c r="DF51" i="2"/>
  <c r="HD51" i="2"/>
  <c r="BC51" i="2"/>
  <c r="EM51" i="2"/>
  <c r="O51" i="2"/>
  <c r="BZ51" i="2"/>
  <c r="FB51" i="2"/>
  <c r="W51" i="2"/>
  <c r="AU51" i="2"/>
  <c r="CH51" i="2"/>
  <c r="EJ51" i="2"/>
  <c r="FO51" i="2"/>
  <c r="CU51" i="2"/>
  <c r="AA51" i="2"/>
  <c r="GD51" i="2"/>
  <c r="DJ51" i="2"/>
  <c r="AP51" i="2"/>
  <c r="GK51" i="2"/>
  <c r="DI51" i="2"/>
  <c r="AO51" i="2"/>
  <c r="GJ51" i="2"/>
  <c r="DP51" i="2"/>
  <c r="FY51" i="2"/>
  <c r="GN51" i="2"/>
  <c r="AT51" i="2"/>
  <c r="CF51" i="2"/>
  <c r="GH51" i="2"/>
  <c r="AR51" i="2"/>
  <c r="DT51" i="2"/>
  <c r="HT51" i="2"/>
  <c r="BL51" i="2"/>
  <c r="EE51" i="2"/>
  <c r="GP51" i="2"/>
  <c r="FC51" i="2"/>
  <c r="BY51" i="2"/>
  <c r="HS51" i="2"/>
  <c r="EY51" i="2"/>
  <c r="CE51" i="2"/>
  <c r="K51" i="2"/>
  <c r="FN51" i="2"/>
  <c r="CT51" i="2"/>
  <c r="R51" i="2"/>
  <c r="FM51" i="2"/>
  <c r="CS51" i="2"/>
  <c r="Y51" i="2"/>
  <c r="FT51" i="2"/>
  <c r="CZ51" i="2"/>
  <c r="FI51" i="2"/>
  <c r="EB51" i="2"/>
  <c r="HF51" i="2"/>
  <c r="BD51" i="2"/>
  <c r="ER51" i="2"/>
  <c r="P51" i="2"/>
  <c r="CO51" i="2"/>
  <c r="GA51" i="2"/>
  <c r="AB51" i="2"/>
  <c r="CI51" i="2"/>
  <c r="BI51" i="2"/>
  <c r="AL51" i="2"/>
  <c r="HO51" i="2"/>
  <c r="BR51" i="2"/>
  <c r="ES51" i="2"/>
  <c r="HX51" i="2"/>
  <c r="FU51" i="2"/>
  <c r="FF51" i="2"/>
  <c r="EI51" i="2"/>
  <c r="S7" i="2"/>
  <c r="BM7" i="2"/>
  <c r="R7" i="2"/>
  <c r="AJ7" i="2"/>
  <c r="M7" i="2"/>
  <c r="V7" i="2"/>
  <c r="GY7" i="2"/>
  <c r="HP7" i="2"/>
  <c r="GK49" i="2"/>
  <c r="GF49" i="2"/>
  <c r="GM49" i="2"/>
  <c r="GL49" i="2"/>
  <c r="GJ49" i="2"/>
  <c r="GI49" i="2"/>
  <c r="GR49" i="2"/>
  <c r="GG49" i="2"/>
  <c r="GN49" i="2"/>
  <c r="GD49" i="2"/>
  <c r="GP49" i="2"/>
  <c r="GQ49" i="2"/>
  <c r="N6" i="2"/>
  <c r="T6" i="2"/>
  <c r="K6" i="2"/>
  <c r="HD41" i="2"/>
  <c r="FW41" i="2"/>
  <c r="FU41" i="2"/>
  <c r="HV41" i="2"/>
  <c r="GH41" i="2"/>
  <c r="DK41" i="2"/>
  <c r="AY41" i="2"/>
  <c r="GR41" i="2"/>
  <c r="DS41" i="2"/>
  <c r="BF41" i="2"/>
  <c r="GQ41" i="2"/>
  <c r="DR41" i="2"/>
  <c r="BE41" i="2"/>
  <c r="GO41" i="2"/>
  <c r="DP41" i="2"/>
  <c r="BD41" i="2"/>
  <c r="GN41" i="2"/>
  <c r="DO41" i="2"/>
  <c r="BC41" i="2"/>
  <c r="GW41" i="2"/>
  <c r="DV41" i="2"/>
  <c r="BI41" i="2"/>
  <c r="EY41" i="2"/>
  <c r="CF41" i="2"/>
  <c r="N41" i="2"/>
  <c r="HO41" i="2"/>
  <c r="ED41" i="2"/>
  <c r="CN41" i="2"/>
  <c r="AB41" i="2"/>
  <c r="HC41" i="2"/>
  <c r="HA41" i="2"/>
  <c r="EO41" i="2"/>
  <c r="GP41" i="2"/>
  <c r="EU41" i="2"/>
  <c r="CE41" i="2"/>
  <c r="S41" i="2"/>
  <c r="BJ41" i="2"/>
  <c r="AR41" i="2"/>
  <c r="DF41" i="2"/>
  <c r="V41" i="2"/>
  <c r="AK41" i="2"/>
  <c r="DE41" i="2"/>
  <c r="GJ41" i="2"/>
  <c r="BK41" i="2"/>
  <c r="EH41" i="2"/>
  <c r="P41" i="2"/>
  <c r="CJ41" i="2"/>
  <c r="FJ41" i="2"/>
  <c r="AO41" i="2"/>
  <c r="DI41" i="2"/>
  <c r="HE41" i="2"/>
  <c r="BV41" i="2"/>
  <c r="ET41" i="2"/>
  <c r="AA41" i="2"/>
  <c r="DC41" i="2"/>
  <c r="HH41" i="2"/>
  <c r="EW41" i="2"/>
  <c r="HY41" i="2"/>
  <c r="HT41" i="2"/>
  <c r="DO43" i="2"/>
  <c r="CB43" i="2"/>
  <c r="FQ43" i="2"/>
  <c r="HE43" i="2"/>
  <c r="HG43" i="2"/>
  <c r="GG43" i="2"/>
  <c r="GI43" i="2"/>
  <c r="GO43" i="2"/>
  <c r="BJ43" i="2"/>
  <c r="ED43" i="2"/>
  <c r="HF43" i="2"/>
  <c r="GR43" i="2"/>
  <c r="AW43" i="2"/>
  <c r="DQ43" i="2"/>
  <c r="GK43" i="2"/>
  <c r="AP43" i="2"/>
  <c r="DJ43" i="2"/>
  <c r="GL43" i="2"/>
  <c r="AQ43" i="2"/>
  <c r="DK43" i="2"/>
  <c r="GE43" i="2"/>
  <c r="AJ43" i="2"/>
  <c r="DD43" i="2"/>
  <c r="DP31" i="2"/>
  <c r="DX31" i="2"/>
  <c r="AA6" i="2"/>
  <c r="O6" i="2"/>
  <c r="P6" i="2"/>
  <c r="GY41" i="2"/>
  <c r="AD41" i="2"/>
  <c r="AL41" i="2"/>
  <c r="DD41" i="2"/>
  <c r="GA41" i="2"/>
  <c r="CH41" i="2"/>
  <c r="BA41" i="2"/>
  <c r="EE41" i="2"/>
  <c r="CA41" i="2"/>
  <c r="EZ41" i="2"/>
  <c r="AF41" i="2"/>
  <c r="CZ41" i="2"/>
  <c r="GD41" i="2"/>
  <c r="BM41" i="2"/>
  <c r="EJ41" i="2"/>
  <c r="R41" i="2"/>
  <c r="CL41" i="2"/>
  <c r="FL41" i="2"/>
  <c r="AQ41" i="2"/>
  <c r="EC41" i="2"/>
  <c r="GX41" i="2"/>
  <c r="FM41" i="2"/>
  <c r="GM41" i="2"/>
  <c r="BB40" i="2"/>
  <c r="FJ40" i="2"/>
  <c r="EJ40" i="2"/>
  <c r="DV40" i="2"/>
  <c r="ET40" i="2"/>
  <c r="GF40" i="2"/>
  <c r="FB40" i="2"/>
  <c r="HT40" i="2"/>
  <c r="CO40" i="2"/>
  <c r="FQ40" i="2"/>
  <c r="FS40" i="2"/>
  <c r="AN40" i="2"/>
  <c r="DP40" i="2"/>
  <c r="GZ40" i="2"/>
  <c r="BU40" i="2"/>
  <c r="EW40" i="2"/>
  <c r="R40" i="2"/>
  <c r="DB40" i="2"/>
  <c r="GD40" i="2"/>
  <c r="AQ40" i="2"/>
  <c r="EA40" i="2"/>
  <c r="BX39" i="2"/>
  <c r="CA39" i="2"/>
  <c r="GY39" i="2"/>
  <c r="ER39" i="2"/>
  <c r="ET39" i="2"/>
  <c r="EB39" i="2"/>
  <c r="DG39" i="2"/>
  <c r="DL39" i="2"/>
  <c r="BA39" i="2"/>
  <c r="EK39" i="2"/>
  <c r="HM39" i="2"/>
  <c r="CJ39" i="2"/>
  <c r="FT39" i="2"/>
  <c r="AG39" i="2"/>
  <c r="DQ39" i="2"/>
  <c r="HA39" i="2"/>
  <c r="BN39" i="2"/>
  <c r="EX39" i="2"/>
  <c r="K39" i="2"/>
  <c r="CM39" i="2"/>
  <c r="FW39" i="2"/>
  <c r="EG34" i="2"/>
  <c r="HX34" i="2"/>
  <c r="R34" i="2"/>
  <c r="DP34" i="2"/>
  <c r="AA34" i="2"/>
  <c r="DZ34" i="2"/>
  <c r="CK34" i="2"/>
  <c r="GU34" i="2"/>
  <c r="DG34" i="2"/>
  <c r="AC34" i="2"/>
  <c r="EB34" i="2"/>
  <c r="AW34" i="2"/>
  <c r="FK34" i="2"/>
  <c r="BP34" i="2"/>
  <c r="GF34" i="2"/>
  <c r="DM34" i="2"/>
  <c r="GW34" i="2"/>
  <c r="BZ34" i="2"/>
  <c r="CP25" i="2"/>
  <c r="AF8" i="2"/>
  <c r="BG8" i="2"/>
  <c r="BA8" i="2"/>
  <c r="T8" i="2"/>
  <c r="AK8" i="2"/>
  <c r="X8" i="2"/>
  <c r="AC8" i="2"/>
  <c r="U8" i="2"/>
  <c r="Y8" i="2"/>
  <c r="IA8" i="2"/>
  <c r="V8" i="2"/>
  <c r="Z8" i="2"/>
  <c r="AA8" i="2"/>
  <c r="AS8" i="2"/>
  <c r="AG8" i="2"/>
  <c r="FW18" i="2"/>
  <c r="DA18" i="2"/>
  <c r="HN43" i="2"/>
  <c r="HP43" i="2"/>
  <c r="HW43" i="2"/>
  <c r="BR43" i="2"/>
  <c r="ET43" i="2"/>
  <c r="HO43" i="2"/>
  <c r="GZ43" i="2"/>
  <c r="BE43" i="2"/>
  <c r="DY43" i="2"/>
  <c r="GS43" i="2"/>
  <c r="AX43" i="2"/>
  <c r="DZ43" i="2"/>
  <c r="GT43" i="2"/>
  <c r="AY43" i="2"/>
  <c r="DS43" i="2"/>
  <c r="GM43" i="2"/>
  <c r="AR43" i="2"/>
  <c r="DL43" i="2"/>
  <c r="GN43" i="2"/>
  <c r="Q6" i="2"/>
  <c r="W6" i="2"/>
  <c r="X6" i="2"/>
  <c r="BP41" i="2"/>
  <c r="DU41" i="2"/>
  <c r="BR41" i="2"/>
  <c r="EM41" i="2"/>
  <c r="T41" i="2"/>
  <c r="DN41" i="2"/>
  <c r="BQ41" i="2"/>
  <c r="EN41" i="2"/>
  <c r="O41" i="2"/>
  <c r="CI41" i="2"/>
  <c r="FI41" i="2"/>
  <c r="AN41" i="2"/>
  <c r="DH41" i="2"/>
  <c r="HB41" i="2"/>
  <c r="BU41" i="2"/>
  <c r="ES41" i="2"/>
  <c r="Z41" i="2"/>
  <c r="CT41" i="2"/>
  <c r="FV41" i="2"/>
  <c r="BG41" i="2"/>
  <c r="EL41" i="2"/>
  <c r="HF41" i="2"/>
  <c r="GC41" i="2"/>
  <c r="GU41" i="2"/>
  <c r="HT39" i="2"/>
  <c r="EL39" i="2"/>
  <c r="CX39" i="2"/>
  <c r="FK39" i="2"/>
  <c r="FP39" i="2"/>
  <c r="FR39" i="2"/>
  <c r="ED39" i="2"/>
  <c r="FB39" i="2"/>
  <c r="BI39" i="2"/>
  <c r="ES39" i="2"/>
  <c r="P39" i="2"/>
  <c r="CR39" i="2"/>
  <c r="GB39" i="2"/>
  <c r="AW39" i="2"/>
  <c r="DY39" i="2"/>
  <c r="HI39" i="2"/>
  <c r="CD39" i="2"/>
  <c r="FF39" i="2"/>
  <c r="S39" i="2"/>
  <c r="DC39" i="2"/>
  <c r="GE39" i="2"/>
  <c r="CW18" i="2"/>
  <c r="DZ18" i="2"/>
  <c r="GQ43" i="2"/>
  <c r="DU43" i="2"/>
  <c r="AK43" i="2"/>
  <c r="AN43" i="2"/>
  <c r="AS43" i="2"/>
  <c r="X43" i="2"/>
  <c r="AC43" i="2"/>
  <c r="AE43" i="2"/>
  <c r="GF43" i="2"/>
  <c r="DT43" i="2"/>
  <c r="BH43" i="2"/>
  <c r="HK43" i="2"/>
  <c r="EY43" i="2"/>
  <c r="CM43" i="2"/>
  <c r="AA43" i="2"/>
  <c r="GD43" i="2"/>
  <c r="DR43" i="2"/>
  <c r="BF43" i="2"/>
  <c r="HI43" i="2"/>
  <c r="EW43" i="2"/>
  <c r="CK43" i="2"/>
  <c r="Y43" i="2"/>
  <c r="GB43" i="2"/>
  <c r="GX43" i="2"/>
  <c r="EL43" i="2"/>
  <c r="BZ43" i="2"/>
  <c r="N43" i="2"/>
  <c r="BT43" i="2"/>
  <c r="CO43" i="2"/>
  <c r="DG43" i="2"/>
  <c r="EU43" i="2"/>
  <c r="FY43" i="2"/>
  <c r="GW43" i="2"/>
  <c r="O43" i="2"/>
  <c r="BC43" i="2"/>
  <c r="HY43" i="2"/>
  <c r="CH43" i="2"/>
  <c r="FB43" i="2"/>
  <c r="HX43" i="2"/>
  <c r="HH43" i="2"/>
  <c r="BM43" i="2"/>
  <c r="EG43" i="2"/>
  <c r="HA43" i="2"/>
  <c r="BN43" i="2"/>
  <c r="EH43" i="2"/>
  <c r="HB43" i="2"/>
  <c r="BG43" i="2"/>
  <c r="EA43" i="2"/>
  <c r="GU43" i="2"/>
  <c r="AZ43" i="2"/>
  <c r="EB43" i="2"/>
  <c r="GV43" i="2"/>
  <c r="DV31" i="2"/>
  <c r="DQ31" i="2"/>
  <c r="DW31" i="2"/>
  <c r="DM31" i="2"/>
  <c r="CP41" i="2"/>
  <c r="HJ41" i="2"/>
  <c r="CX41" i="2"/>
  <c r="FY41" i="2"/>
  <c r="AZ41" i="2"/>
  <c r="GL41" i="2"/>
  <c r="BY41" i="2"/>
  <c r="EX41" i="2"/>
  <c r="W41" i="2"/>
  <c r="CQ41" i="2"/>
  <c r="FR41" i="2"/>
  <c r="AV41" i="2"/>
  <c r="DZ41" i="2"/>
  <c r="HR41" i="2"/>
  <c r="CC41" i="2"/>
  <c r="FB41" i="2"/>
  <c r="AH41" i="2"/>
  <c r="DB41" i="2"/>
  <c r="GG41" i="2"/>
  <c r="BO41" i="2"/>
  <c r="FD41" i="2"/>
  <c r="HN41" i="2"/>
  <c r="GK41" i="2"/>
  <c r="HK41" i="2"/>
  <c r="GE40" i="2"/>
  <c r="DS40" i="2"/>
  <c r="BG40" i="2"/>
  <c r="HR40" i="2"/>
  <c r="FF40" i="2"/>
  <c r="CT40" i="2"/>
  <c r="AH40" i="2"/>
  <c r="GK40" i="2"/>
  <c r="DY40" i="2"/>
  <c r="BM40" i="2"/>
  <c r="HP40" i="2"/>
  <c r="FD40" i="2"/>
  <c r="CR40" i="2"/>
  <c r="AF40" i="2"/>
  <c r="GI40" i="2"/>
  <c r="HE40" i="2"/>
  <c r="ES40" i="2"/>
  <c r="CG40" i="2"/>
  <c r="U40" i="2"/>
  <c r="BS40" i="2"/>
  <c r="CN40" i="2"/>
  <c r="EB40" i="2"/>
  <c r="FZ40" i="2"/>
  <c r="HD40" i="2"/>
  <c r="T40" i="2"/>
  <c r="O40" i="2"/>
  <c r="L40" i="2"/>
  <c r="DN40" i="2"/>
  <c r="HK40" i="2"/>
  <c r="EY40" i="2"/>
  <c r="CM40" i="2"/>
  <c r="AA40" i="2"/>
  <c r="GL40" i="2"/>
  <c r="DZ40" i="2"/>
  <c r="BN40" i="2"/>
  <c r="HQ40" i="2"/>
  <c r="FE40" i="2"/>
  <c r="CS40" i="2"/>
  <c r="AG40" i="2"/>
  <c r="GJ40" i="2"/>
  <c r="DX40" i="2"/>
  <c r="BL40" i="2"/>
  <c r="HO40" i="2"/>
  <c r="FC40" i="2"/>
  <c r="FY40" i="2"/>
  <c r="DM40" i="2"/>
  <c r="BA40" i="2"/>
  <c r="FH40" i="2"/>
  <c r="GH40" i="2"/>
  <c r="AT40" i="2"/>
  <c r="CH40" i="2"/>
  <c r="CY40" i="2"/>
  <c r="AE40" i="2"/>
  <c r="N40" i="2"/>
  <c r="FR40" i="2"/>
  <c r="CQ40" i="2"/>
  <c r="AD40" i="2"/>
  <c r="AC40" i="2"/>
  <c r="DE40" i="2"/>
  <c r="GO40" i="2"/>
  <c r="GQ40" i="2"/>
  <c r="BD40" i="2"/>
  <c r="EN40" i="2"/>
  <c r="HX40" i="2"/>
  <c r="CK40" i="2"/>
  <c r="FU40" i="2"/>
  <c r="AP40" i="2"/>
  <c r="DR40" i="2"/>
  <c r="HB40" i="2"/>
  <c r="BO40" i="2"/>
  <c r="EQ40" i="2"/>
  <c r="IA40" i="2"/>
  <c r="DN39" i="2"/>
  <c r="GV39" i="2"/>
  <c r="FH39" i="2"/>
  <c r="HD39" i="2"/>
  <c r="GI39" i="2"/>
  <c r="GN39" i="2"/>
  <c r="EZ39" i="2"/>
  <c r="FX39" i="2"/>
  <c r="BY39" i="2"/>
  <c r="FA39" i="2"/>
  <c r="X39" i="2"/>
  <c r="DH39" i="2"/>
  <c r="GJ39" i="2"/>
  <c r="BE39" i="2"/>
  <c r="EO39" i="2"/>
  <c r="HQ39" i="2"/>
  <c r="CL39" i="2"/>
  <c r="FV39" i="2"/>
  <c r="AA39" i="2"/>
  <c r="DK39" i="2"/>
  <c r="DC34" i="2"/>
  <c r="AB34" i="2"/>
  <c r="EM34" i="2"/>
  <c r="AV34" i="2"/>
  <c r="FH34" i="2"/>
  <c r="BX34" i="2"/>
  <c r="GE34" i="2"/>
  <c r="CR34" i="2"/>
  <c r="GT34" i="2"/>
  <c r="GH34" i="2"/>
  <c r="DV34" i="2"/>
  <c r="BJ34" i="2"/>
  <c r="HU34" i="2"/>
  <c r="FI34" i="2"/>
  <c r="HS34" i="2"/>
  <c r="HW34" i="2"/>
  <c r="EF34" i="2"/>
  <c r="BG34" i="2"/>
  <c r="GQ34" i="2"/>
  <c r="DI34" i="2"/>
  <c r="AN34" i="2"/>
  <c r="FT34" i="2"/>
  <c r="CO34" i="2"/>
  <c r="T34" i="2"/>
  <c r="EW34" i="2"/>
  <c r="BV34" i="2"/>
  <c r="HI34" i="2"/>
  <c r="DX34" i="2"/>
  <c r="AZ34" i="2"/>
  <c r="FE34" i="2"/>
  <c r="FC34" i="2"/>
  <c r="EV34" i="2"/>
  <c r="EU34" i="2"/>
  <c r="EQ34" i="2"/>
  <c r="GX34" i="2"/>
  <c r="ED34" i="2"/>
  <c r="BB34" i="2"/>
  <c r="HE34" i="2"/>
  <c r="EK34" i="2"/>
  <c r="HR34" i="2"/>
  <c r="FL34" i="2"/>
  <c r="BY34" i="2"/>
  <c r="HD34" i="2"/>
  <c r="CZ34" i="2"/>
  <c r="U34" i="2"/>
  <c r="EN34" i="2"/>
  <c r="BE34" i="2"/>
  <c r="GC34" i="2"/>
  <c r="CN34" i="2"/>
  <c r="HY34" i="2"/>
  <c r="DL34" i="2"/>
  <c r="AH34" i="2"/>
  <c r="CC34" i="2"/>
  <c r="BA34" i="2"/>
  <c r="Z34" i="2"/>
  <c r="GV34" i="2"/>
  <c r="FM34" i="2"/>
  <c r="Q34" i="2"/>
  <c r="BL34" i="2"/>
  <c r="FJ34" i="2"/>
  <c r="CP34" i="2"/>
  <c r="V34" i="2"/>
  <c r="FY34" i="2"/>
  <c r="IA34" i="2"/>
  <c r="HG34" i="2"/>
  <c r="DJ34" i="2"/>
  <c r="AF34" i="2"/>
  <c r="EY34" i="2"/>
  <c r="BO34" i="2"/>
  <c r="GN34" i="2"/>
  <c r="CY34" i="2"/>
  <c r="K34" i="2"/>
  <c r="EA34" i="2"/>
  <c r="AU34" i="2"/>
  <c r="FN34" i="2"/>
  <c r="CB34" i="2"/>
  <c r="HO34" i="2"/>
  <c r="GB34" i="2"/>
  <c r="DW34" i="2"/>
  <c r="CS34" i="2"/>
  <c r="BQ34" i="2"/>
  <c r="BK34" i="2"/>
  <c r="CL34" i="2"/>
  <c r="BH34" i="2"/>
  <c r="CX34" i="2"/>
  <c r="GP34" i="2"/>
  <c r="AE8" i="2"/>
  <c r="BP43" i="2"/>
  <c r="EJ43" i="2"/>
  <c r="HD43" i="2"/>
  <c r="CV41" i="2"/>
  <c r="AJ41" i="2"/>
  <c r="EF41" i="2"/>
  <c r="HZ41" i="2"/>
  <c r="DL41" i="2"/>
  <c r="M41" i="2"/>
  <c r="CG41" i="2"/>
  <c r="FG41" i="2"/>
  <c r="AE41" i="2"/>
  <c r="CY41" i="2"/>
  <c r="GB41" i="2"/>
  <c r="BL41" i="2"/>
  <c r="EI41" i="2"/>
  <c r="Q41" i="2"/>
  <c r="CK41" i="2"/>
  <c r="FK41" i="2"/>
  <c r="AP41" i="2"/>
  <c r="DJ41" i="2"/>
  <c r="HG41" i="2"/>
  <c r="BW41" i="2"/>
  <c r="FN41" i="2"/>
  <c r="DQ41" i="2"/>
  <c r="GS41" i="2"/>
  <c r="HS41" i="2"/>
  <c r="HS39" i="2"/>
  <c r="FG39" i="2"/>
  <c r="CU39" i="2"/>
  <c r="AI39" i="2"/>
  <c r="GT39" i="2"/>
  <c r="EH39" i="2"/>
  <c r="BV39" i="2"/>
  <c r="HY39" i="2"/>
  <c r="FM39" i="2"/>
  <c r="DA39" i="2"/>
  <c r="AO39" i="2"/>
  <c r="GR39" i="2"/>
  <c r="EF39" i="2"/>
  <c r="BT39" i="2"/>
  <c r="HU39" i="2"/>
  <c r="FI39" i="2"/>
  <c r="CW39" i="2"/>
  <c r="AK39" i="2"/>
  <c r="EE39" i="2"/>
  <c r="FS39" i="2"/>
  <c r="BP39" i="2"/>
  <c r="DW39" i="2"/>
  <c r="GH39" i="2"/>
  <c r="T39" i="2"/>
  <c r="AL39" i="2"/>
  <c r="AE39" i="2"/>
  <c r="BZ39" i="2"/>
  <c r="EJ39" i="2"/>
  <c r="GM39" i="2"/>
  <c r="EA39" i="2"/>
  <c r="BO39" i="2"/>
  <c r="HZ39" i="2"/>
  <c r="FN39" i="2"/>
  <c r="DB39" i="2"/>
  <c r="AP39" i="2"/>
  <c r="GS39" i="2"/>
  <c r="EG39" i="2"/>
  <c r="BU39" i="2"/>
  <c r="HX39" i="2"/>
  <c r="FL39" i="2"/>
  <c r="CZ39" i="2"/>
  <c r="AN39" i="2"/>
  <c r="GO39" i="2"/>
  <c r="EC39" i="2"/>
  <c r="BQ39" i="2"/>
  <c r="HN39" i="2"/>
  <c r="AZ39" i="2"/>
  <c r="CN39" i="2"/>
  <c r="EU39" i="2"/>
  <c r="HF39" i="2"/>
  <c r="AR39" i="2"/>
  <c r="CY39" i="2"/>
  <c r="BB39" i="2"/>
  <c r="AJ39" i="2"/>
  <c r="BH39" i="2"/>
  <c r="BC39" i="2"/>
  <c r="HG39" i="2"/>
  <c r="GP39" i="2"/>
  <c r="GQ39" i="2"/>
  <c r="CG39" i="2"/>
  <c r="FQ39" i="2"/>
  <c r="AF39" i="2"/>
  <c r="DP39" i="2"/>
  <c r="GZ39" i="2"/>
  <c r="BM39" i="2"/>
  <c r="EW39" i="2"/>
  <c r="R39" i="2"/>
  <c r="CT39" i="2"/>
  <c r="GD39" i="2"/>
  <c r="AQ39" i="2"/>
  <c r="DS39" i="2"/>
  <c r="HC39" i="2"/>
  <c r="F26" i="2"/>
  <c r="GS26" i="2" s="1"/>
  <c r="DE26" i="2"/>
  <c r="CT25" i="2"/>
  <c r="CQ25" i="2"/>
  <c r="CX25" i="2"/>
  <c r="CO25" i="2"/>
  <c r="CU25" i="2"/>
  <c r="CN25" i="2"/>
  <c r="CS25" i="2"/>
  <c r="CY25" i="2"/>
  <c r="CW25" i="2"/>
  <c r="CJ25" i="2"/>
  <c r="CM25" i="2"/>
  <c r="CR25" i="2"/>
  <c r="CK25" i="2"/>
  <c r="HJ18" i="2"/>
  <c r="EX18" i="2"/>
  <c r="CL18" i="2"/>
  <c r="Z18" i="2"/>
  <c r="GC18" i="2"/>
  <c r="DQ18" i="2"/>
  <c r="BE18" i="2"/>
  <c r="HH18" i="2"/>
  <c r="EV18" i="2"/>
  <c r="CJ18" i="2"/>
  <c r="X18" i="2"/>
  <c r="GA18" i="2"/>
  <c r="DO18" i="2"/>
  <c r="BC18" i="2"/>
  <c r="HN18" i="2"/>
  <c r="FB18" i="2"/>
  <c r="CP18" i="2"/>
  <c r="AD18" i="2"/>
  <c r="GN18" i="2"/>
  <c r="EB18" i="2"/>
  <c r="BP18" i="2"/>
  <c r="GW18" i="2"/>
  <c r="GU18" i="2"/>
  <c r="GO18" i="2"/>
  <c r="FG18" i="2"/>
  <c r="DU18" i="2"/>
  <c r="CG18" i="2"/>
  <c r="AY18" i="2"/>
  <c r="GE18" i="2"/>
  <c r="HR18" i="2"/>
  <c r="EP18" i="2"/>
  <c r="BV18" i="2"/>
  <c r="HQ18" i="2"/>
  <c r="EW18" i="2"/>
  <c r="CC18" i="2"/>
  <c r="HX18" i="2"/>
  <c r="FD18" i="2"/>
  <c r="CB18" i="2"/>
  <c r="HW18" i="2"/>
  <c r="FC18" i="2"/>
  <c r="CI18" i="2"/>
  <c r="O18" i="2"/>
  <c r="FR18" i="2"/>
  <c r="CX18" i="2"/>
  <c r="V18" i="2"/>
  <c r="FX18" i="2"/>
  <c r="DD18" i="2"/>
  <c r="AJ18" i="2"/>
  <c r="AS18" i="2"/>
  <c r="K18" i="2"/>
  <c r="GM18" i="2"/>
  <c r="CO18" i="2"/>
  <c r="U18" i="2"/>
  <c r="CM18" i="2"/>
  <c r="HB18" i="2"/>
  <c r="EH18" i="2"/>
  <c r="BN18" i="2"/>
  <c r="HI18" i="2"/>
  <c r="EO18" i="2"/>
  <c r="BU18" i="2"/>
  <c r="HP18" i="2"/>
  <c r="EN18" i="2"/>
  <c r="BT18" i="2"/>
  <c r="HO18" i="2"/>
  <c r="EU18" i="2"/>
  <c r="CA18" i="2"/>
  <c r="FJ18" i="2"/>
  <c r="CH18" i="2"/>
  <c r="N18" i="2"/>
  <c r="FP18" i="2"/>
  <c r="CV18" i="2"/>
  <c r="AB18" i="2"/>
  <c r="M18" i="2"/>
  <c r="HU18" i="2"/>
  <c r="EA18" i="2"/>
  <c r="BI18" i="2"/>
  <c r="HC18" i="2"/>
  <c r="BG18" i="2"/>
  <c r="GL18" i="2"/>
  <c r="DR18" i="2"/>
  <c r="AX18" i="2"/>
  <c r="GS18" i="2"/>
  <c r="DY18" i="2"/>
  <c r="AW18" i="2"/>
  <c r="GR18" i="2"/>
  <c r="DX18" i="2"/>
  <c r="BD18" i="2"/>
  <c r="GY18" i="2"/>
  <c r="EE18" i="2"/>
  <c r="BK18" i="2"/>
  <c r="HF18" i="2"/>
  <c r="EL18" i="2"/>
  <c r="BR18" i="2"/>
  <c r="HT18" i="2"/>
  <c r="EZ18" i="2"/>
  <c r="CF18" i="2"/>
  <c r="L18" i="2"/>
  <c r="FO18" i="2"/>
  <c r="EC18" i="2"/>
  <c r="BO18" i="2"/>
  <c r="HE18" i="2"/>
  <c r="EQ18" i="2"/>
  <c r="EY18" i="2"/>
  <c r="GD18" i="2"/>
  <c r="DJ18" i="2"/>
  <c r="AP18" i="2"/>
  <c r="GK18" i="2"/>
  <c r="FN18" i="2"/>
  <c r="CT18" i="2"/>
  <c r="R18" i="2"/>
  <c r="FM18" i="2"/>
  <c r="CS18" i="2"/>
  <c r="Y18" i="2"/>
  <c r="FT18" i="2"/>
  <c r="CZ18" i="2"/>
  <c r="AF18" i="2"/>
  <c r="FS18" i="2"/>
  <c r="CY18" i="2"/>
  <c r="AE18" i="2"/>
  <c r="GH18" i="2"/>
  <c r="DN18" i="2"/>
  <c r="AT18" i="2"/>
  <c r="GV18" i="2"/>
  <c r="DT18" i="2"/>
  <c r="AZ18" i="2"/>
  <c r="DE18" i="2"/>
  <c r="BW18" i="2"/>
  <c r="AK18" i="2"/>
  <c r="GG18" i="2"/>
  <c r="DM18" i="2"/>
  <c r="S18" i="2"/>
  <c r="HZ18" i="2"/>
  <c r="FF18" i="2"/>
  <c r="CD18" i="2"/>
  <c r="HY18" i="2"/>
  <c r="FE18" i="2"/>
  <c r="CK18" i="2"/>
  <c r="Q18" i="2"/>
  <c r="FL18" i="2"/>
  <c r="CR18" i="2"/>
  <c r="P18" i="2"/>
  <c r="FK18" i="2"/>
  <c r="CQ18" i="2"/>
  <c r="W18" i="2"/>
  <c r="FZ18" i="2"/>
  <c r="DF18" i="2"/>
  <c r="AL18" i="2"/>
  <c r="GF18" i="2"/>
  <c r="DL18" i="2"/>
  <c r="AR18" i="2"/>
  <c r="BY18" i="2"/>
  <c r="AQ18" i="2"/>
  <c r="HS18" i="2"/>
  <c r="FA18" i="2"/>
  <c r="BA18" i="2"/>
  <c r="DS18" i="2"/>
  <c r="AH18" i="2"/>
  <c r="AG18" i="2"/>
  <c r="AV18" i="2"/>
  <c r="BS18" i="2"/>
  <c r="ED18" i="2"/>
  <c r="FH18" i="2"/>
  <c r="EK18" i="2"/>
  <c r="AI18" i="2"/>
  <c r="AA18" i="2"/>
  <c r="HA18" i="2"/>
  <c r="GZ18" i="2"/>
  <c r="AN18" i="2"/>
  <c r="AU18" i="2"/>
  <c r="DV18" i="2"/>
  <c r="ER18" i="2"/>
  <c r="IA18" i="2"/>
  <c r="HM18" i="2"/>
  <c r="HK18" i="2"/>
  <c r="FU18" i="2"/>
  <c r="GJ18" i="2"/>
  <c r="HG18" i="2"/>
  <c r="AM18" i="2"/>
  <c r="BZ18" i="2"/>
  <c r="EJ18" i="2"/>
  <c r="EI18" i="2"/>
  <c r="AC18" i="2"/>
  <c r="GT18" i="2"/>
  <c r="EG18" i="2"/>
  <c r="GB18" i="2"/>
  <c r="GQ18" i="2"/>
  <c r="BJ18" i="2"/>
  <c r="CN18" i="2"/>
  <c r="DC18" i="2"/>
  <c r="FY18" i="2"/>
  <c r="FV18" i="2"/>
  <c r="DI18" i="2"/>
  <c r="EF18" i="2"/>
  <c r="GI18" i="2"/>
  <c r="HV18" i="2"/>
  <c r="BB18" i="2"/>
  <c r="BX18" i="2"/>
  <c r="FI18" i="2"/>
  <c r="ES18" i="2"/>
  <c r="DB18" i="2"/>
  <c r="BM18" i="2"/>
  <c r="DH18" i="2"/>
  <c r="DW18" i="2"/>
  <c r="GP18" i="2"/>
  <c r="HL18" i="2"/>
  <c r="T18" i="2"/>
  <c r="BQ18" i="2"/>
  <c r="DK18" i="2"/>
  <c r="BF18" i="2"/>
  <c r="AO18" i="2"/>
  <c r="BL18" i="2"/>
  <c r="DG18" i="2"/>
  <c r="ET18" i="2"/>
  <c r="HD18" i="2"/>
  <c r="FQ18" i="2"/>
  <c r="CU18" i="2"/>
  <c r="CE18" i="2"/>
  <c r="FQ24" i="2"/>
  <c r="DE24" i="2"/>
  <c r="AS24" i="2"/>
  <c r="GV24" i="2"/>
  <c r="EJ24" i="2"/>
  <c r="BX24" i="2"/>
  <c r="L24" i="2"/>
  <c r="FW24" i="2"/>
  <c r="DK24" i="2"/>
  <c r="AY24" i="2"/>
  <c r="HJ24" i="2"/>
  <c r="EX24" i="2"/>
  <c r="CL24" i="2"/>
  <c r="Z24" i="2"/>
  <c r="GC24" i="2"/>
  <c r="DQ24" i="2"/>
  <c r="BE24" i="2"/>
  <c r="HG24" i="2"/>
  <c r="EU24" i="2"/>
  <c r="CI24" i="2"/>
  <c r="W24" i="2"/>
  <c r="BB24" i="2"/>
  <c r="P24" i="2"/>
  <c r="HX24" i="2"/>
  <c r="GP24" i="2"/>
  <c r="FD24" i="2"/>
  <c r="FB24" i="2"/>
  <c r="X24" i="2"/>
  <c r="HE24" i="2"/>
  <c r="ES24" i="2"/>
  <c r="CG24" i="2"/>
  <c r="U24" i="2"/>
  <c r="FX24" i="2"/>
  <c r="DL24" i="2"/>
  <c r="AZ24" i="2"/>
  <c r="HK24" i="2"/>
  <c r="EY24" i="2"/>
  <c r="CM24" i="2"/>
  <c r="AA24" i="2"/>
  <c r="GL24" i="2"/>
  <c r="DZ24" i="2"/>
  <c r="BN24" i="2"/>
  <c r="HQ24" i="2"/>
  <c r="FE24" i="2"/>
  <c r="CS24" i="2"/>
  <c r="AG24" i="2"/>
  <c r="GI24" i="2"/>
  <c r="DW24" i="2"/>
  <c r="BK24" i="2"/>
  <c r="HF24" i="2"/>
  <c r="FT24" i="2"/>
  <c r="EL24" i="2"/>
  <c r="EF24" i="2"/>
  <c r="CX24" i="2"/>
  <c r="BL24" i="2"/>
  <c r="BJ24" i="2"/>
  <c r="HH24" i="2"/>
  <c r="ED24" i="2"/>
  <c r="N24" i="2"/>
  <c r="DH24" i="2"/>
  <c r="CQ24" i="2"/>
  <c r="FS24" i="2"/>
  <c r="AO24" i="2"/>
  <c r="DY24" i="2"/>
  <c r="HA24" i="2"/>
  <c r="BV24" i="2"/>
  <c r="FF24" i="2"/>
  <c r="K24" i="2"/>
  <c r="CU24" i="2"/>
  <c r="GE24" i="2"/>
  <c r="AJ24" i="2"/>
  <c r="DT24" i="2"/>
  <c r="HD24" i="2"/>
  <c r="BQ24" i="2"/>
  <c r="FA24" i="2"/>
  <c r="GA45" i="2"/>
  <c r="FV45" i="2"/>
  <c r="FX45" i="2"/>
  <c r="FU45" i="2"/>
  <c r="FY45" i="2"/>
  <c r="FP45" i="2"/>
  <c r="FZ45" i="2"/>
  <c r="FS45" i="2"/>
  <c r="AD24" i="2"/>
  <c r="DX24" i="2"/>
  <c r="AN24" i="2"/>
  <c r="DF24" i="2"/>
  <c r="V24" i="2"/>
  <c r="AM24" i="2"/>
  <c r="DO24" i="2"/>
  <c r="GY24" i="2"/>
  <c r="BU24" i="2"/>
  <c r="EW24" i="2"/>
  <c r="R24" i="2"/>
  <c r="DB24" i="2"/>
  <c r="GD24" i="2"/>
  <c r="AQ24" i="2"/>
  <c r="EA24" i="2"/>
  <c r="HC24" i="2"/>
  <c r="BP24" i="2"/>
  <c r="EZ24" i="2"/>
  <c r="M24" i="2"/>
  <c r="CW24" i="2"/>
  <c r="GG24" i="2"/>
  <c r="FO45" i="2"/>
  <c r="FT45" i="2"/>
  <c r="GH48" i="2"/>
  <c r="GG48" i="2"/>
  <c r="GN48" i="2"/>
  <c r="GM48" i="2"/>
  <c r="GE48" i="2"/>
  <c r="EV24" i="2"/>
  <c r="GH24" i="2"/>
  <c r="AL24" i="2"/>
  <c r="FL24" i="2"/>
  <c r="AV24" i="2"/>
  <c r="ET24" i="2"/>
  <c r="BS24" i="2"/>
  <c r="FC24" i="2"/>
  <c r="Q24" i="2"/>
  <c r="DA24" i="2"/>
  <c r="GK24" i="2"/>
  <c r="AX24" i="2"/>
  <c r="EH24" i="2"/>
  <c r="HR24" i="2"/>
  <c r="BW24" i="2"/>
  <c r="FG24" i="2"/>
  <c r="T24" i="2"/>
  <c r="CV24" i="2"/>
  <c r="GF24" i="2"/>
  <c r="BA24" i="2"/>
  <c r="EC24" i="2"/>
  <c r="HM24" i="2"/>
  <c r="GC45" i="2"/>
  <c r="GB45" i="2"/>
  <c r="GI50" i="2"/>
  <c r="DD26" i="2"/>
  <c r="CZ26" i="2"/>
  <c r="CX26" i="2"/>
  <c r="CY26" i="2"/>
  <c r="DA26" i="2"/>
  <c r="CT26" i="2"/>
  <c r="GB24" i="2"/>
  <c r="HN24" i="2"/>
  <c r="BR24" i="2"/>
  <c r="GR24" i="2"/>
  <c r="CB24" i="2"/>
  <c r="FZ24" i="2"/>
  <c r="CA24" i="2"/>
  <c r="FK24" i="2"/>
  <c r="Y24" i="2"/>
  <c r="DI24" i="2"/>
  <c r="GS24" i="2"/>
  <c r="BF24" i="2"/>
  <c r="EP24" i="2"/>
  <c r="HZ24" i="2"/>
  <c r="CE24" i="2"/>
  <c r="FO24" i="2"/>
  <c r="AB24" i="2"/>
  <c r="DD24" i="2"/>
  <c r="GN24" i="2"/>
  <c r="BI24" i="2"/>
  <c r="EK24" i="2"/>
  <c r="HU24" i="2"/>
  <c r="FR45" i="2"/>
  <c r="F54" i="2"/>
  <c r="GI54" i="2" s="1"/>
  <c r="F28" i="2"/>
  <c r="HO28" i="2" s="1"/>
  <c r="AF32" i="2"/>
  <c r="DS32" i="2"/>
  <c r="CB32" i="2"/>
  <c r="AU32" i="2"/>
  <c r="GI32" i="2"/>
  <c r="DJ32" i="2"/>
  <c r="AI32" i="2"/>
  <c r="FW32" i="2"/>
  <c r="CI32" i="2"/>
  <c r="X32" i="2"/>
  <c r="FL32" i="2"/>
  <c r="CL32" i="2"/>
  <c r="HZ32" i="2"/>
  <c r="CC32" i="2"/>
  <c r="EW32" i="2"/>
  <c r="HQ32" i="2"/>
  <c r="BX32" i="2"/>
  <c r="ER32" i="2"/>
  <c r="HL32" i="2"/>
  <c r="BQ32" i="2"/>
  <c r="EK32" i="2"/>
  <c r="HE32" i="2"/>
  <c r="BB32" i="2"/>
  <c r="ED32" i="2"/>
  <c r="GH32" i="2"/>
  <c r="DV32" i="2"/>
  <c r="BJ32" i="2"/>
  <c r="HU32" i="2"/>
  <c r="FI32" i="2"/>
  <c r="CW32" i="2"/>
  <c r="AK32" i="2"/>
  <c r="GN32" i="2"/>
  <c r="EB32" i="2"/>
  <c r="BP32" i="2"/>
  <c r="HY32" i="2"/>
  <c r="FM32" i="2"/>
  <c r="DA32" i="2"/>
  <c r="AO32" i="2"/>
  <c r="FN32" i="2"/>
  <c r="AP32" i="2"/>
  <c r="EF32" i="2"/>
  <c r="HW32" i="2"/>
  <c r="CY32" i="2"/>
  <c r="HC32" i="2"/>
  <c r="CE32" i="2"/>
  <c r="FV32" i="2"/>
  <c r="AX32" i="2"/>
  <c r="EM32" i="2"/>
  <c r="O32" i="2"/>
  <c r="P32" i="2"/>
  <c r="GE32" i="2"/>
  <c r="CR32" i="2"/>
  <c r="BZ32" i="2"/>
  <c r="ET32" i="2"/>
  <c r="HN32" i="2"/>
  <c r="F23" i="2"/>
  <c r="FQ23" i="2" s="1"/>
  <c r="AQ32" i="2"/>
  <c r="GJ32" i="2"/>
  <c r="AA32" i="2"/>
  <c r="CQ32" i="2"/>
  <c r="R32" i="2"/>
  <c r="FF32" i="2"/>
  <c r="CU32" i="2"/>
  <c r="EU32" i="2"/>
  <c r="BT32" i="2"/>
  <c r="HH32" i="2"/>
  <c r="EH32" i="2"/>
  <c r="AG32" i="2"/>
  <c r="DI32" i="2"/>
  <c r="GC32" i="2"/>
  <c r="AB32" i="2"/>
  <c r="CV32" i="2"/>
  <c r="FP32" i="2"/>
  <c r="U32" i="2"/>
  <c r="CO32" i="2"/>
  <c r="FQ32" i="2"/>
  <c r="N32" i="2"/>
  <c r="CH32" i="2"/>
  <c r="FB32" i="2"/>
  <c r="HV32" i="2"/>
  <c r="F9" i="2"/>
  <c r="GJ9" i="2" s="1"/>
  <c r="AN9" i="2"/>
  <c r="HN54" i="2"/>
  <c r="CE23" i="2"/>
  <c r="CI23" i="2"/>
  <c r="CF23" i="2"/>
  <c r="CK23" i="2"/>
  <c r="CG23" i="2"/>
  <c r="EV29" i="2"/>
  <c r="GK29" i="2"/>
  <c r="DZ29" i="2"/>
  <c r="EG29" i="2"/>
  <c r="EH29" i="2"/>
  <c r="FF29" i="2"/>
  <c r="EO29" i="2"/>
  <c r="DX29" i="2"/>
  <c r="BG29" i="2"/>
  <c r="EI29" i="2"/>
  <c r="HK29" i="2"/>
  <c r="CF29" i="2"/>
  <c r="FH29" i="2"/>
  <c r="U29" i="2"/>
  <c r="GO29" i="2"/>
  <c r="AT29" i="2"/>
  <c r="EL29" i="2"/>
  <c r="HN29" i="2"/>
  <c r="BS29" i="2"/>
  <c r="FK29" i="2"/>
  <c r="GS53" i="2"/>
  <c r="HG53" i="2"/>
  <c r="GZ53" i="2"/>
  <c r="HE53" i="2"/>
  <c r="GV53" i="2"/>
  <c r="GY53" i="2"/>
  <c r="HB53" i="2"/>
  <c r="HH53" i="2"/>
  <c r="GW53" i="2"/>
  <c r="HD53" i="2"/>
  <c r="N55" i="2"/>
  <c r="GX55" i="2"/>
  <c r="DO55" i="2"/>
  <c r="BU55" i="2"/>
  <c r="BS47" i="2"/>
  <c r="EE47" i="2"/>
  <c r="GQ47" i="2"/>
  <c r="AN47" i="2"/>
  <c r="CZ47" i="2"/>
  <c r="FL47" i="2"/>
  <c r="HX47" i="2"/>
  <c r="EE38" i="2"/>
  <c r="DD38" i="2"/>
  <c r="M38" i="2"/>
  <c r="BJ38" i="2"/>
  <c r="GN38" i="2"/>
  <c r="DG38" i="2"/>
  <c r="AJ38" i="2"/>
  <c r="FH38" i="2"/>
  <c r="HE38" i="2"/>
  <c r="BD38" i="2"/>
  <c r="DP38" i="2"/>
  <c r="GB38" i="2"/>
  <c r="Y38" i="2"/>
  <c r="CK38" i="2"/>
  <c r="FE38" i="2"/>
  <c r="HY38" i="2"/>
  <c r="CD38" i="2"/>
  <c r="HZ38" i="2"/>
  <c r="BW38" i="2"/>
  <c r="HK38" i="2"/>
  <c r="CO23" i="2"/>
  <c r="FV15" i="2"/>
  <c r="DJ15" i="2"/>
  <c r="AX15" i="2"/>
  <c r="HA15" i="2"/>
  <c r="EO15" i="2"/>
  <c r="CC15" i="2"/>
  <c r="HP15" i="2"/>
  <c r="FD15" i="2"/>
  <c r="CR15" i="2"/>
  <c r="AF15" i="2"/>
  <c r="GI15" i="2"/>
  <c r="DW15" i="2"/>
  <c r="BK15" i="2"/>
  <c r="HV15" i="2"/>
  <c r="FJ15" i="2"/>
  <c r="FP15" i="2"/>
  <c r="DD15" i="2"/>
  <c r="AR15" i="2"/>
  <c r="EI15" i="2"/>
  <c r="GE15" i="2"/>
  <c r="M15" i="2"/>
  <c r="AT15" i="2"/>
  <c r="CH15" i="2"/>
  <c r="DC15" i="2"/>
  <c r="EL15" i="2"/>
  <c r="BY15" i="2"/>
  <c r="IA15" i="2"/>
  <c r="GM15" i="2"/>
  <c r="HZ15" i="2"/>
  <c r="FN15" i="2"/>
  <c r="DB15" i="2"/>
  <c r="FI15" i="2"/>
  <c r="ES15" i="2"/>
  <c r="ET15" i="2"/>
  <c r="EC15" i="2"/>
  <c r="DK15" i="2"/>
  <c r="CP15" i="2"/>
  <c r="AJ15" i="2"/>
  <c r="DL15" i="2"/>
  <c r="GF15" i="2"/>
  <c r="GH15" i="2"/>
  <c r="AE15" i="2"/>
  <c r="CY15" i="2"/>
  <c r="FS15" i="2"/>
  <c r="X15" i="2"/>
  <c r="CZ15" i="2"/>
  <c r="FT15" i="2"/>
  <c r="AO15" i="2"/>
  <c r="DI15" i="2"/>
  <c r="GC15" i="2"/>
  <c r="AH15" i="2"/>
  <c r="DR15" i="2"/>
  <c r="GT15" i="2"/>
  <c r="HZ29" i="2"/>
  <c r="GR29" i="2"/>
  <c r="EW29" i="2"/>
  <c r="FD29" i="2"/>
  <c r="GT29" i="2"/>
  <c r="GC29" i="2"/>
  <c r="FL29" i="2"/>
  <c r="GJ29" i="2"/>
  <c r="BO29" i="2"/>
  <c r="EQ29" i="2"/>
  <c r="L29" i="2"/>
  <c r="CN29" i="2"/>
  <c r="FP29" i="2"/>
  <c r="AS29" i="2"/>
  <c r="DU29" i="2"/>
  <c r="GW29" i="2"/>
  <c r="BR29" i="2"/>
  <c r="ET29" i="2"/>
  <c r="HV29" i="2"/>
  <c r="CQ29" i="2"/>
  <c r="FS29" i="2"/>
  <c r="HC53" i="2"/>
  <c r="GK55" i="2"/>
  <c r="DY55" i="2"/>
  <c r="BM55" i="2"/>
  <c r="HO55" i="2"/>
  <c r="FC55" i="2"/>
  <c r="CQ55" i="2"/>
  <c r="AE55" i="2"/>
  <c r="GP55" i="2"/>
  <c r="EX55" i="2"/>
  <c r="BP55" i="2"/>
  <c r="HB55" i="2"/>
  <c r="DP55" i="2"/>
  <c r="AI55" i="2"/>
  <c r="FP55" i="2"/>
  <c r="CH55" i="2"/>
  <c r="HX55" i="2"/>
  <c r="EI55" i="2"/>
  <c r="BA55" i="2"/>
  <c r="GJ55" i="2"/>
  <c r="DB55" i="2"/>
  <c r="T55" i="2"/>
  <c r="EP55" i="2"/>
  <c r="BH55" i="2"/>
  <c r="CW55" i="2"/>
  <c r="HR55" i="2"/>
  <c r="CE55" i="2"/>
  <c r="EY55" i="2"/>
  <c r="S55" i="2"/>
  <c r="GC55" i="2"/>
  <c r="DQ55" i="2"/>
  <c r="BE55" i="2"/>
  <c r="HG55" i="2"/>
  <c r="EU55" i="2"/>
  <c r="CI55" i="2"/>
  <c r="W55" i="2"/>
  <c r="GH55" i="2"/>
  <c r="EL55" i="2"/>
  <c r="BF55" i="2"/>
  <c r="GN55" i="2"/>
  <c r="DE55" i="2"/>
  <c r="X55" i="2"/>
  <c r="FF55" i="2"/>
  <c r="BX55" i="2"/>
  <c r="HK55" i="2"/>
  <c r="DX55" i="2"/>
  <c r="AQ55" i="2"/>
  <c r="FX55" i="2"/>
  <c r="CP55" i="2"/>
  <c r="HS55" i="2"/>
  <c r="ED55" i="2"/>
  <c r="AX55" i="2"/>
  <c r="BG55" i="2"/>
  <c r="FT55" i="2"/>
  <c r="AN55" i="2"/>
  <c r="DH55" i="2"/>
  <c r="FA55" i="2"/>
  <c r="FU55" i="2"/>
  <c r="DI55" i="2"/>
  <c r="AW55" i="2"/>
  <c r="GY55" i="2"/>
  <c r="EM55" i="2"/>
  <c r="CA55" i="2"/>
  <c r="O55" i="2"/>
  <c r="HP55" i="2"/>
  <c r="EB55" i="2"/>
  <c r="AT55" i="2"/>
  <c r="GB55" i="2"/>
  <c r="CU55" i="2"/>
  <c r="M55" i="2"/>
  <c r="ET55" i="2"/>
  <c r="BN55" i="2"/>
  <c r="GW55" i="2"/>
  <c r="DM55" i="2"/>
  <c r="AF55" i="2"/>
  <c r="FN55" i="2"/>
  <c r="CF55" i="2"/>
  <c r="HE55" i="2"/>
  <c r="DT55" i="2"/>
  <c r="AL55" i="2"/>
  <c r="P55" i="2"/>
  <c r="EC55" i="2"/>
  <c r="HD55" i="2"/>
  <c r="BQ55" i="2"/>
  <c r="EQ55" i="2"/>
  <c r="HY55" i="2"/>
  <c r="FM55" i="2"/>
  <c r="DA55" i="2"/>
  <c r="AO55" i="2"/>
  <c r="GQ55" i="2"/>
  <c r="EE55" i="2"/>
  <c r="BS55" i="2"/>
  <c r="HC55" i="2"/>
  <c r="DR55" i="2"/>
  <c r="AJ55" i="2"/>
  <c r="FQ55" i="2"/>
  <c r="CJ55" i="2"/>
  <c r="HZ55" i="2"/>
  <c r="EJ55" i="2"/>
  <c r="BB55" i="2"/>
  <c r="GL55" i="2"/>
  <c r="DC55" i="2"/>
  <c r="U55" i="2"/>
  <c r="FB55" i="2"/>
  <c r="BV55" i="2"/>
  <c r="GT55" i="2"/>
  <c r="DJ55" i="2"/>
  <c r="AB55" i="2"/>
  <c r="HT55" i="2"/>
  <c r="CM55" i="2"/>
  <c r="FI55" i="2"/>
  <c r="AA55" i="2"/>
  <c r="CZ55" i="2"/>
  <c r="HA55" i="2"/>
  <c r="EO55" i="2"/>
  <c r="CC55" i="2"/>
  <c r="Q55" i="2"/>
  <c r="FS55" i="2"/>
  <c r="DG55" i="2"/>
  <c r="AU55" i="2"/>
  <c r="HF55" i="2"/>
  <c r="FR55" i="2"/>
  <c r="CL55" i="2"/>
  <c r="IA55" i="2"/>
  <c r="EK55" i="2"/>
  <c r="BD55" i="2"/>
  <c r="GM55" i="2"/>
  <c r="DD55" i="2"/>
  <c r="V55" i="2"/>
  <c r="FD55" i="2"/>
  <c r="BW55" i="2"/>
  <c r="HJ55" i="2"/>
  <c r="DV55" i="2"/>
  <c r="AP55" i="2"/>
  <c r="FJ55" i="2"/>
  <c r="CD55" i="2"/>
  <c r="GE55" i="2"/>
  <c r="CO55" i="2"/>
  <c r="FL55" i="2"/>
  <c r="AK55" i="2"/>
  <c r="AC55" i="2"/>
  <c r="AD55" i="2"/>
  <c r="K55" i="2"/>
  <c r="AH55" i="2"/>
  <c r="AS55" i="2"/>
  <c r="Z55" i="2"/>
  <c r="HN55" i="2"/>
  <c r="DW55" i="2"/>
  <c r="CK55" i="2"/>
  <c r="DX46" i="2"/>
  <c r="CY29" i="2"/>
  <c r="GA29" i="2"/>
  <c r="HC54" i="2"/>
  <c r="HA54" i="2"/>
  <c r="IA47" i="2"/>
  <c r="GK47" i="2"/>
  <c r="EO47" i="2"/>
  <c r="EQ47" i="2"/>
  <c r="CK47" i="2"/>
  <c r="AW47" i="2"/>
  <c r="HK47" i="2"/>
  <c r="DL47" i="2"/>
  <c r="BE47" i="2"/>
  <c r="HS47" i="2"/>
  <c r="BV47" i="2"/>
  <c r="EH47" i="2"/>
  <c r="GT47" i="2"/>
  <c r="AK47" i="2"/>
  <c r="CW47" i="2"/>
  <c r="FI47" i="2"/>
  <c r="HU47" i="2"/>
  <c r="BJ47" i="2"/>
  <c r="DV47" i="2"/>
  <c r="W47" i="2"/>
  <c r="CI47" i="2"/>
  <c r="EU47" i="2"/>
  <c r="HG47" i="2"/>
  <c r="BD47" i="2"/>
  <c r="DP47" i="2"/>
  <c r="GF38" i="2"/>
  <c r="CY38" i="2"/>
  <c r="GE38" i="2"/>
  <c r="DS38" i="2"/>
  <c r="BG38" i="2"/>
  <c r="HR38" i="2"/>
  <c r="FF38" i="2"/>
  <c r="CT38" i="2"/>
  <c r="AH38" i="2"/>
  <c r="GK38" i="2"/>
  <c r="DY38" i="2"/>
  <c r="CI38" i="2"/>
  <c r="L38" i="2"/>
  <c r="EJ38" i="2"/>
  <c r="AS38" i="2"/>
  <c r="FQ38" i="2"/>
  <c r="CP38" i="2"/>
  <c r="O38" i="2"/>
  <c r="EM38" i="2"/>
  <c r="BP38" i="2"/>
  <c r="GQ38" i="2"/>
  <c r="HU38" i="2"/>
  <c r="BT38" i="2"/>
  <c r="EF38" i="2"/>
  <c r="GR38" i="2"/>
  <c r="AO38" i="2"/>
  <c r="DA38" i="2"/>
  <c r="FU38" i="2"/>
  <c r="Z38" i="2"/>
  <c r="DB38" i="2"/>
  <c r="FV38" i="2"/>
  <c r="S38" i="2"/>
  <c r="CM38" i="2"/>
  <c r="FG38" i="2"/>
  <c r="IA38" i="2"/>
  <c r="CR23" i="2"/>
  <c r="CQ23" i="2"/>
  <c r="CM23" i="2"/>
  <c r="CU15" i="2"/>
  <c r="BB15" i="2"/>
  <c r="S15" i="2"/>
  <c r="HU15" i="2"/>
  <c r="GW15" i="2"/>
  <c r="HC15" i="2"/>
  <c r="FY15" i="2"/>
  <c r="FA15" i="2"/>
  <c r="FB15" i="2"/>
  <c r="BH15" i="2"/>
  <c r="EB15" i="2"/>
  <c r="GV15" i="2"/>
  <c r="GX15" i="2"/>
  <c r="AU15" i="2"/>
  <c r="DO15" i="2"/>
  <c r="GQ15" i="2"/>
  <c r="AV15" i="2"/>
  <c r="DP15" i="2"/>
  <c r="GJ15" i="2"/>
  <c r="BE15" i="2"/>
  <c r="DY15" i="2"/>
  <c r="GS15" i="2"/>
  <c r="BF15" i="2"/>
  <c r="EH15" i="2"/>
  <c r="HJ15" i="2"/>
  <c r="FN29" i="2"/>
  <c r="DY29" i="2"/>
  <c r="GL29" i="2"/>
  <c r="AG29" i="2"/>
  <c r="P29" i="2"/>
  <c r="HR29" i="2"/>
  <c r="R29" i="2"/>
  <c r="HY29" i="2"/>
  <c r="CE29" i="2"/>
  <c r="FW29" i="2"/>
  <c r="AB29" i="2"/>
  <c r="GV29" i="2"/>
  <c r="BI29" i="2"/>
  <c r="EK29" i="2"/>
  <c r="HG29" i="2"/>
  <c r="EU29" i="2"/>
  <c r="CI29" i="2"/>
  <c r="W29" i="2"/>
  <c r="GH29" i="2"/>
  <c r="DV29" i="2"/>
  <c r="BJ29" i="2"/>
  <c r="HU29" i="2"/>
  <c r="FI29" i="2"/>
  <c r="CW29" i="2"/>
  <c r="AK29" i="2"/>
  <c r="GN29" i="2"/>
  <c r="EB29" i="2"/>
  <c r="BP29" i="2"/>
  <c r="IA29" i="2"/>
  <c r="FO29" i="2"/>
  <c r="DC29" i="2"/>
  <c r="AQ29" i="2"/>
  <c r="FM29" i="2"/>
  <c r="HX29" i="2"/>
  <c r="BF29" i="2"/>
  <c r="DQ29" i="2"/>
  <c r="GB29" i="2"/>
  <c r="HP29" i="2"/>
  <c r="AX29" i="2"/>
  <c r="CK29" i="2"/>
  <c r="DI29" i="2"/>
  <c r="CJ29" i="2"/>
  <c r="AW29" i="2"/>
  <c r="GY29" i="2"/>
  <c r="EM29" i="2"/>
  <c r="CA29" i="2"/>
  <c r="O29" i="2"/>
  <c r="FZ29" i="2"/>
  <c r="DN29" i="2"/>
  <c r="BB29" i="2"/>
  <c r="HM29" i="2"/>
  <c r="FA29" i="2"/>
  <c r="CO29" i="2"/>
  <c r="AC29" i="2"/>
  <c r="GF29" i="2"/>
  <c r="DT29" i="2"/>
  <c r="BH29" i="2"/>
  <c r="HS29" i="2"/>
  <c r="FG29" i="2"/>
  <c r="CU29" i="2"/>
  <c r="AI29" i="2"/>
  <c r="EP29" i="2"/>
  <c r="HA29" i="2"/>
  <c r="AN29" i="2"/>
  <c r="CT29" i="2"/>
  <c r="FE29" i="2"/>
  <c r="GS29" i="2"/>
  <c r="AF29" i="2"/>
  <c r="BN29" i="2"/>
  <c r="Z29" i="2"/>
  <c r="EX29" i="2"/>
  <c r="CH29" i="2"/>
  <c r="FJ29" i="2"/>
  <c r="AE29" i="2"/>
  <c r="DG29" i="2"/>
  <c r="GI29" i="2"/>
  <c r="HJ53" i="2"/>
  <c r="F10" i="2"/>
  <c r="EJ10" i="2" s="1"/>
  <c r="AS10" i="2"/>
  <c r="DK55" i="2"/>
  <c r="HH55" i="2"/>
  <c r="BR55" i="2"/>
  <c r="BJ55" i="2"/>
  <c r="CG55" i="2"/>
  <c r="CT55" i="2"/>
  <c r="BY55" i="2"/>
  <c r="CV55" i="2"/>
  <c r="GA55" i="2"/>
  <c r="EG55" i="2"/>
  <c r="FH46" i="2"/>
  <c r="FM46" i="2"/>
  <c r="GN46" i="2"/>
  <c r="FE46" i="2"/>
  <c r="CD46" i="2"/>
  <c r="AC46" i="2"/>
  <c r="FY46" i="2"/>
  <c r="ED46" i="2"/>
  <c r="AM46" i="2"/>
  <c r="HO46" i="2"/>
  <c r="FT46" i="2"/>
  <c r="AE9" i="2"/>
  <c r="HM54" i="2"/>
  <c r="HF54" i="2"/>
  <c r="CC47" i="2"/>
  <c r="AJ47" i="2"/>
  <c r="HT47" i="2"/>
  <c r="FM47" i="2"/>
  <c r="DD47" i="2"/>
  <c r="BP47" i="2"/>
  <c r="AB47" i="2"/>
  <c r="GS47" i="2"/>
  <c r="EI47" i="2"/>
  <c r="BX47" i="2"/>
  <c r="R47" i="2"/>
  <c r="CD47" i="2"/>
  <c r="EP47" i="2"/>
  <c r="HB47" i="2"/>
  <c r="AS47" i="2"/>
  <c r="DE47" i="2"/>
  <c r="FQ47" i="2"/>
  <c r="BR47" i="2"/>
  <c r="ED47" i="2"/>
  <c r="GP47" i="2"/>
  <c r="AE47" i="2"/>
  <c r="CQ47" i="2"/>
  <c r="FC47" i="2"/>
  <c r="HO47" i="2"/>
  <c r="BL47" i="2"/>
  <c r="DX47" i="2"/>
  <c r="U38" i="2"/>
  <c r="BS38" i="2"/>
  <c r="ET38" i="2"/>
  <c r="AM38" i="2"/>
  <c r="ED38" i="2"/>
  <c r="AB38" i="2"/>
  <c r="EZ38" i="2"/>
  <c r="BI38" i="2"/>
  <c r="GI38" i="2"/>
  <c r="DF38" i="2"/>
  <c r="AE38" i="2"/>
  <c r="FC38" i="2"/>
  <c r="CF38" i="2"/>
  <c r="HN38" i="2"/>
  <c r="P38" i="2"/>
  <c r="CB38" i="2"/>
  <c r="EN38" i="2"/>
  <c r="GZ38" i="2"/>
  <c r="AW38" i="2"/>
  <c r="DI38" i="2"/>
  <c r="GC38" i="2"/>
  <c r="AP38" i="2"/>
  <c r="DJ38" i="2"/>
  <c r="GD38" i="2"/>
  <c r="AA38" i="2"/>
  <c r="CU38" i="2"/>
  <c r="FO38" i="2"/>
  <c r="DD30" i="2"/>
  <c r="DJ30" i="2"/>
  <c r="CN23" i="2"/>
  <c r="CX15" i="2"/>
  <c r="EK15" i="2"/>
  <c r="AK15" i="2"/>
  <c r="V15" i="2"/>
  <c r="Y15" i="2"/>
  <c r="K15" i="2"/>
  <c r="HE15" i="2"/>
  <c r="HK15" i="2"/>
  <c r="GG15" i="2"/>
  <c r="BP15" i="2"/>
  <c r="EJ15" i="2"/>
  <c r="HD15" i="2"/>
  <c r="HF15" i="2"/>
  <c r="BC15" i="2"/>
  <c r="EE15" i="2"/>
  <c r="GY15" i="2"/>
  <c r="BD15" i="2"/>
  <c r="DX15" i="2"/>
  <c r="GR15" i="2"/>
  <c r="BM15" i="2"/>
  <c r="EG15" i="2"/>
  <c r="HI15" i="2"/>
  <c r="BN15" i="2"/>
  <c r="EP15" i="2"/>
  <c r="HR15" i="2"/>
  <c r="CL29" i="2"/>
  <c r="HH29" i="2"/>
  <c r="HI29" i="2"/>
  <c r="BD29" i="2"/>
  <c r="AH29" i="2"/>
  <c r="Q29" i="2"/>
  <c r="AO29" i="2"/>
  <c r="K29" i="2"/>
  <c r="CM29" i="2"/>
  <c r="GE29" i="2"/>
  <c r="AJ29" i="2"/>
  <c r="DL29" i="2"/>
  <c r="HD29" i="2"/>
  <c r="BQ29" i="2"/>
  <c r="ES29" i="2"/>
  <c r="N29" i="2"/>
  <c r="CP29" i="2"/>
  <c r="FR29" i="2"/>
  <c r="AM29" i="2"/>
  <c r="DO29" i="2"/>
  <c r="GQ29" i="2"/>
  <c r="HF53" i="2"/>
  <c r="GG55" i="2"/>
  <c r="AV55" i="2"/>
  <c r="CN55" i="2"/>
  <c r="DL55" i="2"/>
  <c r="CR55" i="2"/>
  <c r="DN55" i="2"/>
  <c r="EA55" i="2"/>
  <c r="DF55" i="2"/>
  <c r="AM55" i="2"/>
  <c r="GI55" i="2"/>
  <c r="EW55" i="2"/>
  <c r="DC46" i="2"/>
  <c r="GF46" i="2"/>
  <c r="AB46" i="2"/>
  <c r="AI46" i="2"/>
  <c r="CL46" i="2"/>
  <c r="AS46" i="2"/>
  <c r="HM46" i="2"/>
  <c r="EL46" i="2"/>
  <c r="CA46" i="2"/>
  <c r="HW46" i="2"/>
  <c r="DM47" i="2"/>
  <c r="N47" i="2"/>
  <c r="BZ47" i="2"/>
  <c r="EL47" i="2"/>
  <c r="GX47" i="2"/>
  <c r="AM47" i="2"/>
  <c r="CY47" i="2"/>
  <c r="FK47" i="2"/>
  <c r="HW47" i="2"/>
  <c r="BT47" i="2"/>
  <c r="EF47" i="2"/>
  <c r="GR47" i="2"/>
  <c r="AK38" i="2"/>
  <c r="GX38" i="2"/>
  <c r="GV38" i="2"/>
  <c r="CH38" i="2"/>
  <c r="FZ38" i="2"/>
  <c r="AR38" i="2"/>
  <c r="FP38" i="2"/>
  <c r="BY38" i="2"/>
  <c r="HF38" i="2"/>
  <c r="DV38" i="2"/>
  <c r="AU38" i="2"/>
  <c r="FS38" i="2"/>
  <c r="CV38" i="2"/>
  <c r="FY38" i="2"/>
  <c r="X38" i="2"/>
  <c r="CJ38" i="2"/>
  <c r="HH38" i="2"/>
  <c r="BE38" i="2"/>
  <c r="DQ38" i="2"/>
  <c r="GS38" i="2"/>
  <c r="AX38" i="2"/>
  <c r="DR38" i="2"/>
  <c r="GL38" i="2"/>
  <c r="AI38" i="2"/>
  <c r="DC38" i="2"/>
  <c r="FW38" i="2"/>
  <c r="CD23" i="2"/>
  <c r="CJ23" i="2"/>
  <c r="AI15" i="2"/>
  <c r="U15" i="2"/>
  <c r="BG15" i="2"/>
  <c r="AQ15" i="2"/>
  <c r="AS15" i="2"/>
  <c r="AA15" i="2"/>
  <c r="AC15" i="2"/>
  <c r="N15" i="2"/>
  <c r="HM15" i="2"/>
  <c r="BX15" i="2"/>
  <c r="ER15" i="2"/>
  <c r="HL15" i="2"/>
  <c r="HN15" i="2"/>
  <c r="BS15" i="2"/>
  <c r="EM15" i="2"/>
  <c r="HG15" i="2"/>
  <c r="BL15" i="2"/>
  <c r="EF15" i="2"/>
  <c r="GZ15" i="2"/>
  <c r="BU15" i="2"/>
  <c r="EW15" i="2"/>
  <c r="HQ15" i="2"/>
  <c r="BV15" i="2"/>
  <c r="EX15" i="2"/>
  <c r="EF29" i="2"/>
  <c r="FU29" i="2"/>
  <c r="Y29" i="2"/>
  <c r="BU29" i="2"/>
  <c r="BV29" i="2"/>
  <c r="BE29" i="2"/>
  <c r="CC29" i="2"/>
  <c r="BL29" i="2"/>
  <c r="S29" i="2"/>
  <c r="GM29" i="2"/>
  <c r="AR29" i="2"/>
  <c r="EJ29" i="2"/>
  <c r="HL29" i="2"/>
  <c r="BY29" i="2"/>
  <c r="FQ29" i="2"/>
  <c r="V29" i="2"/>
  <c r="CX29" i="2"/>
  <c r="GP29" i="2"/>
  <c r="AU29" i="2"/>
  <c r="DW29" i="2"/>
  <c r="HO29" i="2"/>
  <c r="HA53" i="2"/>
  <c r="GU55" i="2"/>
  <c r="AY55" i="2"/>
  <c r="CX55" i="2"/>
  <c r="EH55" i="2"/>
  <c r="ES55" i="2"/>
  <c r="DZ55" i="2"/>
  <c r="EV55" i="2"/>
  <c r="FH55" i="2"/>
  <c r="BC55" i="2"/>
  <c r="HW55" i="2"/>
  <c r="FE55" i="2"/>
  <c r="HX46" i="2"/>
  <c r="FL46" i="2"/>
  <c r="CZ46" i="2"/>
  <c r="AN46" i="2"/>
  <c r="GQ46" i="2"/>
  <c r="EE46" i="2"/>
  <c r="BS46" i="2"/>
  <c r="FR46" i="2"/>
  <c r="DF46" i="2"/>
  <c r="AT46" i="2"/>
  <c r="HE46" i="2"/>
  <c r="ES46" i="2"/>
  <c r="CG46" i="2"/>
  <c r="U46" i="2"/>
  <c r="GD46" i="2"/>
  <c r="DR46" i="2"/>
  <c r="BF46" i="2"/>
  <c r="GC46" i="2"/>
  <c r="L46" i="2"/>
  <c r="BW46" i="2"/>
  <c r="EG46" i="2"/>
  <c r="FU46" i="2"/>
  <c r="HI46" i="2"/>
  <c r="AR46" i="2"/>
  <c r="DA46" i="2"/>
  <c r="HD46" i="2"/>
  <c r="T46" i="2"/>
  <c r="ER46" i="2"/>
  <c r="HP46" i="2"/>
  <c r="FD46" i="2"/>
  <c r="CR46" i="2"/>
  <c r="AF46" i="2"/>
  <c r="GI46" i="2"/>
  <c r="DW46" i="2"/>
  <c r="BK46" i="2"/>
  <c r="HV46" i="2"/>
  <c r="FJ46" i="2"/>
  <c r="CX46" i="2"/>
  <c r="AL46" i="2"/>
  <c r="GW46" i="2"/>
  <c r="EK46" i="2"/>
  <c r="BY46" i="2"/>
  <c r="M46" i="2"/>
  <c r="FV46" i="2"/>
  <c r="DJ46" i="2"/>
  <c r="AX46" i="2"/>
  <c r="FG46" i="2"/>
  <c r="HQ46" i="2"/>
  <c r="AZ46" i="2"/>
  <c r="DK46" i="2"/>
  <c r="EY46" i="2"/>
  <c r="GM46" i="2"/>
  <c r="Y46" i="2"/>
  <c r="CE46" i="2"/>
  <c r="DY46" i="2"/>
  <c r="GE46" i="2"/>
  <c r="CF46" i="2"/>
  <c r="HH46" i="2"/>
  <c r="EV46" i="2"/>
  <c r="CJ46" i="2"/>
  <c r="X46" i="2"/>
  <c r="GA46" i="2"/>
  <c r="DO46" i="2"/>
  <c r="BC46" i="2"/>
  <c r="HN46" i="2"/>
  <c r="FB46" i="2"/>
  <c r="CP46" i="2"/>
  <c r="AD46" i="2"/>
  <c r="GO46" i="2"/>
  <c r="EC46" i="2"/>
  <c r="BQ46" i="2"/>
  <c r="HZ46" i="2"/>
  <c r="FN46" i="2"/>
  <c r="DB46" i="2"/>
  <c r="AP46" i="2"/>
  <c r="EJ46" i="2"/>
  <c r="GU46" i="2"/>
  <c r="AG46" i="2"/>
  <c r="CN46" i="2"/>
  <c r="EB46" i="2"/>
  <c r="FP46" i="2"/>
  <c r="HY46" i="2"/>
  <c r="BH46" i="2"/>
  <c r="AQ46" i="2"/>
  <c r="CV46" i="2"/>
  <c r="BM46" i="2"/>
  <c r="GZ46" i="2"/>
  <c r="EN46" i="2"/>
  <c r="CB46" i="2"/>
  <c r="P46" i="2"/>
  <c r="FS46" i="2"/>
  <c r="DG46" i="2"/>
  <c r="AU46" i="2"/>
  <c r="HF46" i="2"/>
  <c r="ET46" i="2"/>
  <c r="CH46" i="2"/>
  <c r="V46" i="2"/>
  <c r="GG46" i="2"/>
  <c r="DU46" i="2"/>
  <c r="BI46" i="2"/>
  <c r="HR46" i="2"/>
  <c r="FF46" i="2"/>
  <c r="CT46" i="2"/>
  <c r="AH46" i="2"/>
  <c r="DQ46" i="2"/>
  <c r="FX46" i="2"/>
  <c r="K46" i="2"/>
  <c r="BU46" i="2"/>
  <c r="DI46" i="2"/>
  <c r="EW46" i="2"/>
  <c r="HC46" i="2"/>
  <c r="AO46" i="2"/>
  <c r="HA46" i="2"/>
  <c r="Q46" i="2"/>
  <c r="GB46" i="2"/>
  <c r="DP46" i="2"/>
  <c r="BD46" i="2"/>
  <c r="HG46" i="2"/>
  <c r="EU46" i="2"/>
  <c r="CI46" i="2"/>
  <c r="W46" i="2"/>
  <c r="GH46" i="2"/>
  <c r="DV46" i="2"/>
  <c r="BJ46" i="2"/>
  <c r="HU46" i="2"/>
  <c r="FI46" i="2"/>
  <c r="CW46" i="2"/>
  <c r="AK46" i="2"/>
  <c r="GT46" i="2"/>
  <c r="EH46" i="2"/>
  <c r="BV46" i="2"/>
  <c r="HS46" i="2"/>
  <c r="BE46" i="2"/>
  <c r="DL46" i="2"/>
  <c r="FW46" i="2"/>
  <c r="HK46" i="2"/>
  <c r="AW46" i="2"/>
  <c r="CK46" i="2"/>
  <c r="EQ46" i="2"/>
  <c r="EO46" i="2"/>
  <c r="GK46" i="2"/>
  <c r="IA46" i="2"/>
  <c r="FZ46" i="2"/>
  <c r="CQ46" i="2"/>
  <c r="AV46" i="2"/>
  <c r="GR46" i="2"/>
  <c r="DN15" i="2"/>
  <c r="GU15" i="2"/>
  <c r="BZ15" i="2"/>
  <c r="BJ15" i="2"/>
  <c r="BO15" i="2"/>
  <c r="BQ15" i="2"/>
  <c r="AY15" i="2"/>
  <c r="AD15" i="2"/>
  <c r="L15" i="2"/>
  <c r="CF15" i="2"/>
  <c r="EZ15" i="2"/>
  <c r="HT15" i="2"/>
  <c r="CA15" i="2"/>
  <c r="EU15" i="2"/>
  <c r="HO15" i="2"/>
  <c r="BT15" i="2"/>
  <c r="EN15" i="2"/>
  <c r="HH15" i="2"/>
  <c r="CK15" i="2"/>
  <c r="FE15" i="2"/>
  <c r="HY15" i="2"/>
  <c r="CD15" i="2"/>
  <c r="FF15" i="2"/>
  <c r="HJ29" i="2"/>
  <c r="X29" i="2"/>
  <c r="AV29" i="2"/>
  <c r="CR29" i="2"/>
  <c r="CS29" i="2"/>
  <c r="CB29" i="2"/>
  <c r="CD29" i="2"/>
  <c r="AA29" i="2"/>
  <c r="DS29" i="2"/>
  <c r="GU29" i="2"/>
  <c r="AZ29" i="2"/>
  <c r="ER29" i="2"/>
  <c r="HT29" i="2"/>
  <c r="CG29" i="2"/>
  <c r="FY29" i="2"/>
  <c r="AD29" i="2"/>
  <c r="GX29" i="2"/>
  <c r="BC29" i="2"/>
  <c r="EE29" i="2"/>
  <c r="HW29" i="2"/>
  <c r="HI53" i="2"/>
  <c r="BI55" i="2"/>
  <c r="EF55" i="2"/>
  <c r="EZ55" i="2"/>
  <c r="ER55" i="2"/>
  <c r="FO55" i="2"/>
  <c r="FZ55" i="2"/>
  <c r="FG55" i="2"/>
  <c r="GD55" i="2"/>
  <c r="BK55" i="2"/>
  <c r="Y55" i="2"/>
  <c r="GS55" i="2"/>
  <c r="DS46" i="2"/>
  <c r="DD46" i="2"/>
  <c r="EZ46" i="2"/>
  <c r="CU46" i="2"/>
  <c r="EP46" i="2"/>
  <c r="CO46" i="2"/>
  <c r="N46" i="2"/>
  <c r="GP46" i="2"/>
  <c r="CY46" i="2"/>
  <c r="BL46" i="2"/>
  <c r="FQ42" i="2"/>
  <c r="EC42" i="2"/>
  <c r="CO42" i="2"/>
  <c r="AE42" i="2"/>
  <c r="GR42" i="2"/>
  <c r="EK42" i="2"/>
  <c r="AD42" i="2"/>
  <c r="CP42" i="2"/>
  <c r="HN42" i="2"/>
  <c r="BM42" i="2"/>
  <c r="DY42" i="2"/>
  <c r="GK42" i="2"/>
  <c r="AP42" i="2"/>
  <c r="DB42" i="2"/>
  <c r="HZ42" i="2"/>
  <c r="BO42" i="2"/>
  <c r="EA42" i="2"/>
  <c r="GM42" i="2"/>
  <c r="AB42" i="2"/>
  <c r="CN42" i="2"/>
  <c r="EZ42" i="2"/>
  <c r="HL42" i="2"/>
  <c r="EJ22" i="2"/>
  <c r="FK22" i="2"/>
  <c r="DS22" i="2"/>
  <c r="AJ22" i="2"/>
  <c r="CV22" i="2"/>
  <c r="FL22" i="2"/>
  <c r="U22" i="2"/>
  <c r="CG22" i="2"/>
  <c r="EU22" i="2"/>
  <c r="HQ22" i="2"/>
  <c r="BJ22" i="2"/>
  <c r="DV22" i="2"/>
  <c r="GP22" i="2"/>
  <c r="AM22" i="2"/>
  <c r="CY22" i="2"/>
  <c r="FP22" i="2"/>
  <c r="X22" i="2"/>
  <c r="CJ22" i="2"/>
  <c r="EX22" i="2"/>
  <c r="HV22" i="2"/>
  <c r="BU22" i="2"/>
  <c r="EG22" i="2"/>
  <c r="HB22" i="2"/>
  <c r="BF22" i="2"/>
  <c r="DR22" i="2"/>
  <c r="GK22" i="2"/>
  <c r="EY22" i="2"/>
  <c r="HK22" i="2"/>
  <c r="Y37" i="2"/>
  <c r="AO37" i="2"/>
  <c r="AV37" i="2"/>
  <c r="P37" i="2"/>
  <c r="BY37" i="2"/>
  <c r="AG37" i="2"/>
  <c r="GP37" i="2"/>
  <c r="DZ37" i="2"/>
  <c r="CM37" i="2"/>
  <c r="BD37" i="2"/>
  <c r="R37" i="2"/>
  <c r="CF37" i="2"/>
  <c r="FN37" i="2"/>
  <c r="AA37" i="2"/>
  <c r="CQ37" i="2"/>
  <c r="FY37" i="2"/>
  <c r="GV37" i="2"/>
  <c r="BA37" i="2"/>
  <c r="EA37" i="2"/>
  <c r="HL37" i="2"/>
  <c r="BJ37" i="2"/>
  <c r="EL37" i="2"/>
  <c r="BT37" i="2"/>
  <c r="EF37" i="2"/>
  <c r="GR37" i="2"/>
  <c r="DI37" i="2"/>
  <c r="FU37" i="2"/>
  <c r="HJ37" i="2"/>
  <c r="BR22" i="2"/>
  <c r="ED22" i="2"/>
  <c r="GY22" i="2"/>
  <c r="AU22" i="2"/>
  <c r="DG22" i="2"/>
  <c r="FY22" i="2"/>
  <c r="AF22" i="2"/>
  <c r="CR22" i="2"/>
  <c r="FH22" i="2"/>
  <c r="Q22" i="2"/>
  <c r="CC22" i="2"/>
  <c r="EP22" i="2"/>
  <c r="HL22" i="2"/>
  <c r="BN22" i="2"/>
  <c r="DZ22" i="2"/>
  <c r="GT22" i="2"/>
  <c r="FG22" i="2"/>
  <c r="HS22" i="2"/>
  <c r="DG37" i="2"/>
  <c r="BU37" i="2"/>
  <c r="Z37" i="2"/>
  <c r="CP37" i="2"/>
  <c r="FX37" i="2"/>
  <c r="AI37" i="2"/>
  <c r="DC37" i="2"/>
  <c r="GI37" i="2"/>
  <c r="HG37" i="2"/>
  <c r="BI37" i="2"/>
  <c r="BR37" i="2"/>
  <c r="EX37" i="2"/>
  <c r="CB37" i="2"/>
  <c r="EN37" i="2"/>
  <c r="GZ37" i="2"/>
  <c r="DQ37" i="2"/>
  <c r="GC37" i="2"/>
  <c r="HR37" i="2"/>
  <c r="Q42" i="2"/>
  <c r="CC42" i="2"/>
  <c r="EO42" i="2"/>
  <c r="HA42" i="2"/>
  <c r="BF42" i="2"/>
  <c r="DR42" i="2"/>
  <c r="GD42" i="2"/>
  <c r="S42" i="2"/>
  <c r="CE42" i="2"/>
  <c r="EQ42" i="2"/>
  <c r="HC42" i="2"/>
  <c r="AR42" i="2"/>
  <c r="DD42" i="2"/>
  <c r="AA22" i="2"/>
  <c r="S22" i="2"/>
  <c r="DC22" i="2"/>
  <c r="BO22" i="2"/>
  <c r="AZ22" i="2"/>
  <c r="DL22" i="2"/>
  <c r="GD22" i="2"/>
  <c r="AK22" i="2"/>
  <c r="CW22" i="2"/>
  <c r="FM22" i="2"/>
  <c r="N22" i="2"/>
  <c r="BZ22" i="2"/>
  <c r="EM22" i="2"/>
  <c r="HH22" i="2"/>
  <c r="BC22" i="2"/>
  <c r="DO22" i="2"/>
  <c r="GH22" i="2"/>
  <c r="AN22" i="2"/>
  <c r="CZ22" i="2"/>
  <c r="FQ22" i="2"/>
  <c r="Y22" i="2"/>
  <c r="CK22" i="2"/>
  <c r="EZ22" i="2"/>
  <c r="HX22" i="2"/>
  <c r="BV22" i="2"/>
  <c r="EH22" i="2"/>
  <c r="HD22" i="2"/>
  <c r="FO22" i="2"/>
  <c r="IA22" i="2"/>
  <c r="BL37" i="2"/>
  <c r="FA37" i="2"/>
  <c r="DK37" i="2"/>
  <c r="DN37" i="2"/>
  <c r="BM37" i="2"/>
  <c r="T37" i="2"/>
  <c r="FS37" i="2"/>
  <c r="EC37" i="2"/>
  <c r="CN37" i="2"/>
  <c r="AH37" i="2"/>
  <c r="DB37" i="2"/>
  <c r="GH37" i="2"/>
  <c r="AQ37" i="2"/>
  <c r="DM37" i="2"/>
  <c r="GU37" i="2"/>
  <c r="HW37" i="2"/>
  <c r="BQ37" i="2"/>
  <c r="EU37" i="2"/>
  <c r="N37" i="2"/>
  <c r="CA37" i="2"/>
  <c r="FH37" i="2"/>
  <c r="CJ37" i="2"/>
  <c r="EV37" i="2"/>
  <c r="HH37" i="2"/>
  <c r="DY37" i="2"/>
  <c r="GK37" i="2"/>
  <c r="HZ37" i="2"/>
  <c r="AE10" i="2"/>
  <c r="B63" i="2"/>
  <c r="B62" i="2"/>
  <c r="B61" i="2"/>
  <c r="DP42" i="2"/>
  <c r="BD42" i="2"/>
  <c r="CG42" i="2"/>
  <c r="EN42" i="2"/>
  <c r="BL42" i="2"/>
  <c r="X42" i="2"/>
  <c r="GO42" i="2"/>
  <c r="CQ42" i="2"/>
  <c r="AF42" i="2"/>
  <c r="GW42" i="2"/>
  <c r="BB42" i="2"/>
  <c r="DN42" i="2"/>
  <c r="FZ42" i="2"/>
  <c r="Y42" i="2"/>
  <c r="CK42" i="2"/>
  <c r="EW42" i="2"/>
  <c r="HI42" i="2"/>
  <c r="BN42" i="2"/>
  <c r="DZ42" i="2"/>
  <c r="GL42" i="2"/>
  <c r="AA42" i="2"/>
  <c r="CM42" i="2"/>
  <c r="EY42" i="2"/>
  <c r="HK42" i="2"/>
  <c r="AZ42" i="2"/>
  <c r="DL42" i="2"/>
  <c r="FX42" i="2"/>
  <c r="CM22" i="2"/>
  <c r="CE22" i="2"/>
  <c r="FT22" i="2"/>
  <c r="EA22" i="2"/>
  <c r="BH22" i="2"/>
  <c r="DT22" i="2"/>
  <c r="GN22" i="2"/>
  <c r="AS22" i="2"/>
  <c r="DE22" i="2"/>
  <c r="FV22" i="2"/>
  <c r="V22" i="2"/>
  <c r="CH22" i="2"/>
  <c r="EV22" i="2"/>
  <c r="HR22" i="2"/>
  <c r="BK22" i="2"/>
  <c r="DW22" i="2"/>
  <c r="GQ22" i="2"/>
  <c r="AV22" i="2"/>
  <c r="DH22" i="2"/>
  <c r="FZ22" i="2"/>
  <c r="AG22" i="2"/>
  <c r="CS22" i="2"/>
  <c r="FI22" i="2"/>
  <c r="R22" i="2"/>
  <c r="CD22" i="2"/>
  <c r="ER22" i="2"/>
  <c r="HN22" i="2"/>
  <c r="FW22" i="2"/>
  <c r="HM22" i="2"/>
  <c r="BS11" i="2"/>
  <c r="EE11" i="2"/>
  <c r="GQ11" i="2"/>
  <c r="AN11" i="2"/>
  <c r="CZ11" i="2"/>
  <c r="FL11" i="2"/>
  <c r="HX11" i="2"/>
  <c r="CC37" i="2"/>
  <c r="HD37" i="2"/>
  <c r="HT37" i="2"/>
  <c r="FJ37" i="2"/>
  <c r="EJ37" i="2"/>
  <c r="CE37" i="2"/>
  <c r="AJ37" i="2"/>
  <c r="GQ37" i="2"/>
  <c r="EY37" i="2"/>
  <c r="DJ37" i="2"/>
  <c r="AP37" i="2"/>
  <c r="DL37" i="2"/>
  <c r="GT37" i="2"/>
  <c r="AY37" i="2"/>
  <c r="DW37" i="2"/>
  <c r="HF37" i="2"/>
  <c r="M37" i="2"/>
  <c r="BZ37" i="2"/>
  <c r="FG37" i="2"/>
  <c r="V37" i="2"/>
  <c r="CL37" i="2"/>
  <c r="FR37" i="2"/>
  <c r="CR37" i="2"/>
  <c r="FD37" i="2"/>
  <c r="HP37" i="2"/>
  <c r="EG37" i="2"/>
  <c r="GS37" i="2"/>
  <c r="HC37" i="2"/>
  <c r="AM10" i="2"/>
  <c r="GB42" i="2"/>
  <c r="EM42" i="2"/>
  <c r="FL42" i="2"/>
  <c r="FK42" i="2"/>
  <c r="CI42" i="2"/>
  <c r="AU42" i="2"/>
  <c r="HH42" i="2"/>
  <c r="FT42" i="2"/>
  <c r="DM42" i="2"/>
  <c r="BC42" i="2"/>
  <c r="HP42" i="2"/>
  <c r="BJ42" i="2"/>
  <c r="DV42" i="2"/>
  <c r="GH42" i="2"/>
  <c r="AG42" i="2"/>
  <c r="CS42" i="2"/>
  <c r="FE42" i="2"/>
  <c r="HQ42" i="2"/>
  <c r="BV42" i="2"/>
  <c r="EH42" i="2"/>
  <c r="GT42" i="2"/>
  <c r="AI42" i="2"/>
  <c r="CU42" i="2"/>
  <c r="FG42" i="2"/>
  <c r="HS42" i="2"/>
  <c r="BH42" i="2"/>
  <c r="DT42" i="2"/>
  <c r="GF42" i="2"/>
  <c r="FB22" i="2"/>
  <c r="ES22" i="2"/>
  <c r="AY22" i="2"/>
  <c r="GV22" i="2"/>
  <c r="BP22" i="2"/>
  <c r="EB22" i="2"/>
  <c r="GW22" i="2"/>
  <c r="BA22" i="2"/>
  <c r="DM22" i="2"/>
  <c r="GF22" i="2"/>
  <c r="AD22" i="2"/>
  <c r="CP22" i="2"/>
  <c r="FE22" i="2"/>
  <c r="BS22" i="2"/>
  <c r="EE22" i="2"/>
  <c r="GZ22" i="2"/>
  <c r="BD22" i="2"/>
  <c r="DP22" i="2"/>
  <c r="GI22" i="2"/>
  <c r="AO22" i="2"/>
  <c r="DA22" i="2"/>
  <c r="FR22" i="2"/>
  <c r="Z22" i="2"/>
  <c r="CL22" i="2"/>
  <c r="FA22" i="2"/>
  <c r="HY22" i="2"/>
  <c r="GE22" i="2"/>
  <c r="HU22" i="2"/>
  <c r="AG11" i="2"/>
  <c r="DI11" i="2"/>
  <c r="HS11" i="2"/>
  <c r="BU11" i="2"/>
  <c r="AH11" i="2"/>
  <c r="CT11" i="2"/>
  <c r="FF11" i="2"/>
  <c r="HR11" i="2"/>
  <c r="BH11" i="2"/>
  <c r="DT11" i="2"/>
  <c r="GF11" i="2"/>
  <c r="AC11" i="2"/>
  <c r="CO11" i="2"/>
  <c r="FA11" i="2"/>
  <c r="HM11" i="2"/>
  <c r="BB11" i="2"/>
  <c r="DN11" i="2"/>
  <c r="FZ11" i="2"/>
  <c r="O11" i="2"/>
  <c r="CA11" i="2"/>
  <c r="EM11" i="2"/>
  <c r="GY11" i="2"/>
  <c r="AV11" i="2"/>
  <c r="DH11" i="2"/>
  <c r="FT11" i="2"/>
  <c r="DS37" i="2"/>
  <c r="AE37" i="2"/>
  <c r="AU37" i="2"/>
  <c r="O37" i="2"/>
  <c r="L37" i="2"/>
  <c r="FF37" i="2"/>
  <c r="CY37" i="2"/>
  <c r="AZ37" i="2"/>
  <c r="W37" i="2"/>
  <c r="FV37" i="2"/>
  <c r="ED37" i="2"/>
  <c r="AX37" i="2"/>
  <c r="DV37" i="2"/>
  <c r="HE37" i="2"/>
  <c r="BG37" i="2"/>
  <c r="EI37" i="2"/>
  <c r="HV37" i="2"/>
  <c r="U37" i="2"/>
  <c r="CI37" i="2"/>
  <c r="FQ37" i="2"/>
  <c r="AD37" i="2"/>
  <c r="CV37" i="2"/>
  <c r="GD37" i="2"/>
  <c r="CZ37" i="2"/>
  <c r="FL37" i="2"/>
  <c r="HX37" i="2"/>
  <c r="EO37" i="2"/>
  <c r="HA37" i="2"/>
  <c r="HK37" i="2"/>
  <c r="AQ10" i="2"/>
  <c r="AG10" i="2"/>
  <c r="AO10" i="2"/>
  <c r="AB10" i="2"/>
  <c r="GI42" i="2"/>
  <c r="HU42" i="2"/>
  <c r="R42" i="2"/>
  <c r="GG42" i="2"/>
  <c r="DE42" i="2"/>
  <c r="BQ42" i="2"/>
  <c r="AC42" i="2"/>
  <c r="GQ42" i="2"/>
  <c r="EF42" i="2"/>
  <c r="BY42" i="2"/>
  <c r="BR42" i="2"/>
  <c r="ED42" i="2"/>
  <c r="GP42" i="2"/>
  <c r="AO42" i="2"/>
  <c r="DA42" i="2"/>
  <c r="FM42" i="2"/>
  <c r="HY42" i="2"/>
  <c r="CD42" i="2"/>
  <c r="EP42" i="2"/>
  <c r="HB42" i="2"/>
  <c r="AQ42" i="2"/>
  <c r="DC42" i="2"/>
  <c r="FO42" i="2"/>
  <c r="IA42" i="2"/>
  <c r="BP42" i="2"/>
  <c r="EB42" i="2"/>
  <c r="HZ22" i="2"/>
  <c r="HO22" i="2"/>
  <c r="DK22" i="2"/>
  <c r="L22" i="2"/>
  <c r="BX22" i="2"/>
  <c r="EK22" i="2"/>
  <c r="HF22" i="2"/>
  <c r="BI22" i="2"/>
  <c r="DU22" i="2"/>
  <c r="GO22" i="2"/>
  <c r="AL22" i="2"/>
  <c r="CX22" i="2"/>
  <c r="FN22" i="2"/>
  <c r="O22" i="2"/>
  <c r="CA22" i="2"/>
  <c r="EN22" i="2"/>
  <c r="HI22" i="2"/>
  <c r="BL22" i="2"/>
  <c r="DX22" i="2"/>
  <c r="GR22" i="2"/>
  <c r="AW22" i="2"/>
  <c r="DI22" i="2"/>
  <c r="GA22" i="2"/>
  <c r="AH22" i="2"/>
  <c r="CT22" i="2"/>
  <c r="FJ22" i="2"/>
  <c r="HW22" i="2"/>
  <c r="GM22" i="2"/>
  <c r="AP11" i="2"/>
  <c r="DB11" i="2"/>
  <c r="FN11" i="2"/>
  <c r="HZ11" i="2"/>
  <c r="BP11" i="2"/>
  <c r="EB11" i="2"/>
  <c r="GN11" i="2"/>
  <c r="AK11" i="2"/>
  <c r="CW11" i="2"/>
  <c r="FI11" i="2"/>
  <c r="HU11" i="2"/>
  <c r="BJ11" i="2"/>
  <c r="DV11" i="2"/>
  <c r="GH11" i="2"/>
  <c r="W11" i="2"/>
  <c r="CI11" i="2"/>
  <c r="EU11" i="2"/>
  <c r="HG11" i="2"/>
  <c r="BD11" i="2"/>
  <c r="DP11" i="2"/>
  <c r="GB11" i="2"/>
  <c r="GE37" i="2"/>
  <c r="BV37" i="2"/>
  <c r="CO37" i="2"/>
  <c r="BE37" i="2"/>
  <c r="AB37" i="2"/>
  <c r="GF37" i="2"/>
  <c r="DU37" i="2"/>
  <c r="BP37" i="2"/>
  <c r="AM37" i="2"/>
  <c r="GY37" i="2"/>
  <c r="EZ37" i="2"/>
  <c r="BF37" i="2"/>
  <c r="EH37" i="2"/>
  <c r="HU37" i="2"/>
  <c r="BO37" i="2"/>
  <c r="ES37" i="2"/>
  <c r="FP37" i="2"/>
  <c r="AC37" i="2"/>
  <c r="CU37" i="2"/>
  <c r="GA37" i="2"/>
  <c r="AL37" i="2"/>
  <c r="DF37" i="2"/>
  <c r="GN37" i="2"/>
  <c r="DH37" i="2"/>
  <c r="FT37" i="2"/>
  <c r="CK37" i="2"/>
  <c r="EW37" i="2"/>
  <c r="HI37" i="2"/>
  <c r="HS37" i="2"/>
  <c r="AJ10" i="2"/>
  <c r="AD10" i="2"/>
  <c r="P42" i="2"/>
  <c r="BK42" i="2"/>
  <c r="AM42" i="2"/>
  <c r="GZ42" i="2"/>
  <c r="DX42" i="2"/>
  <c r="CJ42" i="2"/>
  <c r="AV42" i="2"/>
  <c r="HM42" i="2"/>
  <c r="CR42" i="2"/>
  <c r="N42" i="2"/>
  <c r="BZ42" i="2"/>
  <c r="EL42" i="2"/>
  <c r="GX42" i="2"/>
  <c r="AW42" i="2"/>
  <c r="DI42" i="2"/>
  <c r="FU42" i="2"/>
  <c r="Z42" i="2"/>
  <c r="CL42" i="2"/>
  <c r="EX42" i="2"/>
  <c r="HJ42" i="2"/>
  <c r="AY42" i="2"/>
  <c r="DK42" i="2"/>
  <c r="FW42" i="2"/>
  <c r="L42" i="2"/>
  <c r="BX42" i="2"/>
  <c r="EJ42" i="2"/>
  <c r="GV42" i="2"/>
  <c r="K22" i="2"/>
  <c r="AI22" i="2"/>
  <c r="GC22" i="2"/>
  <c r="T22" i="2"/>
  <c r="CF22" i="2"/>
  <c r="ET22" i="2"/>
  <c r="HP22" i="2"/>
  <c r="BQ22" i="2"/>
  <c r="EC22" i="2"/>
  <c r="GX22" i="2"/>
  <c r="AT22" i="2"/>
  <c r="DF22" i="2"/>
  <c r="FX22" i="2"/>
  <c r="W22" i="2"/>
  <c r="CI22" i="2"/>
  <c r="EW22" i="2"/>
  <c r="HT22" i="2"/>
  <c r="BT22" i="2"/>
  <c r="EF22" i="2"/>
  <c r="HA22" i="2"/>
  <c r="BE22" i="2"/>
  <c r="DQ22" i="2"/>
  <c r="GJ22" i="2"/>
  <c r="AP22" i="2"/>
  <c r="DB22" i="2"/>
  <c r="FS22" i="2"/>
  <c r="EI22" i="2"/>
  <c r="BR11" i="2"/>
  <c r="ED11" i="2"/>
  <c r="GP11" i="2"/>
  <c r="AE11" i="2"/>
  <c r="CQ11" i="2"/>
  <c r="FC11" i="2"/>
  <c r="HO11" i="2"/>
  <c r="BL11" i="2"/>
  <c r="DX11" i="2"/>
  <c r="EE37" i="2"/>
  <c r="DT37" i="2"/>
  <c r="EP37" i="2"/>
  <c r="CX37" i="2"/>
  <c r="AR37" i="2"/>
  <c r="HN37" i="2"/>
  <c r="EQ37" i="2"/>
  <c r="CH37" i="2"/>
  <c r="BC37" i="2"/>
  <c r="X37" i="2"/>
  <c r="FW37" i="2"/>
  <c r="BN37" i="2"/>
  <c r="ER37" i="2"/>
  <c r="K37" i="2"/>
  <c r="BX37" i="2"/>
  <c r="FC37" i="2"/>
  <c r="FZ37" i="2"/>
  <c r="AK37" i="2"/>
  <c r="DE37" i="2"/>
  <c r="GM37" i="2"/>
  <c r="AT37" i="2"/>
  <c r="DR37" i="2"/>
  <c r="GX37" i="2"/>
  <c r="DP37" i="2"/>
  <c r="GB37" i="2"/>
  <c r="CS37" i="2"/>
  <c r="FE37" i="2"/>
  <c r="HQ37" i="2"/>
  <c r="FY49" i="2" l="1"/>
  <c r="L49" i="2"/>
  <c r="GY49" i="2"/>
  <c r="DM25" i="2"/>
  <c r="EE49" i="2"/>
  <c r="DT25" i="2"/>
  <c r="BU49" i="2"/>
  <c r="U49" i="2"/>
  <c r="BQ49" i="2"/>
  <c r="DI8" i="2"/>
  <c r="DF8" i="2"/>
  <c r="EO8" i="2"/>
  <c r="CY8" i="2"/>
  <c r="BB8" i="2"/>
  <c r="GW8" i="2"/>
  <c r="CP45" i="2"/>
  <c r="CR45" i="2"/>
  <c r="X45" i="2"/>
  <c r="AF45" i="2"/>
  <c r="GA8" i="2"/>
  <c r="BP8" i="2"/>
  <c r="FX8" i="2"/>
  <c r="EP8" i="2"/>
  <c r="EU8" i="2"/>
  <c r="AN8" i="2"/>
  <c r="GI8" i="2"/>
  <c r="BQ8" i="2"/>
  <c r="FI8" i="2"/>
  <c r="HR8" i="2"/>
  <c r="HC8" i="2"/>
  <c r="DK8" i="2"/>
  <c r="AX8" i="2"/>
  <c r="BU8" i="2"/>
  <c r="DP8" i="2"/>
  <c r="GX8" i="2"/>
  <c r="HB8" i="2"/>
  <c r="GF8" i="2"/>
  <c r="DB8" i="2"/>
  <c r="HJ8" i="2"/>
  <c r="EH8" i="2"/>
  <c r="HK8" i="2"/>
  <c r="DA8" i="2"/>
  <c r="AM8" i="2"/>
  <c r="EK8" i="2"/>
  <c r="CH8" i="2"/>
  <c r="EC8" i="2"/>
  <c r="EZ8" i="2"/>
  <c r="CN8" i="2"/>
  <c r="EW8" i="2"/>
  <c r="FE8" i="2"/>
  <c r="AL8" i="2"/>
  <c r="AV8" i="2"/>
  <c r="FL8" i="2"/>
  <c r="HF8" i="2"/>
  <c r="ED8" i="2"/>
  <c r="ER8" i="2"/>
  <c r="FO8" i="2"/>
  <c r="DX8" i="2"/>
  <c r="GM8" i="2"/>
  <c r="BS8" i="2"/>
  <c r="HN8" i="2"/>
  <c r="FS8" i="2"/>
  <c r="HD8" i="2"/>
  <c r="CD8" i="2"/>
  <c r="CR8" i="2"/>
  <c r="HQ48" i="2"/>
  <c r="EM48" i="2"/>
  <c r="HI48" i="2"/>
  <c r="FJ48" i="2"/>
  <c r="K48" i="2"/>
  <c r="EK30" i="2"/>
  <c r="EO30" i="2"/>
  <c r="HZ30" i="2"/>
  <c r="EM30" i="2"/>
  <c r="GC30" i="2"/>
  <c r="FU30" i="2"/>
  <c r="EW30" i="2"/>
  <c r="GZ30" i="2"/>
  <c r="HJ48" i="2"/>
  <c r="CV48" i="2"/>
  <c r="HU30" i="2"/>
  <c r="GG31" i="2"/>
  <c r="CN30" i="2"/>
  <c r="CA30" i="2"/>
  <c r="HW30" i="2"/>
  <c r="Z48" i="2"/>
  <c r="DF31" i="2"/>
  <c r="M30" i="2"/>
  <c r="S30" i="2"/>
  <c r="EW48" i="2"/>
  <c r="EU31" i="2"/>
  <c r="AU6" i="2"/>
  <c r="FC10" i="2"/>
  <c r="GD30" i="2"/>
  <c r="BK30" i="2"/>
  <c r="EE30" i="2"/>
  <c r="EJ6" i="2"/>
  <c r="HL6" i="2"/>
  <c r="EP30" i="2"/>
  <c r="GI30" i="2"/>
  <c r="HX30" i="2"/>
  <c r="DA45" i="2"/>
  <c r="AG6" i="2"/>
  <c r="BW30" i="2"/>
  <c r="FH30" i="2"/>
  <c r="FA30" i="2"/>
  <c r="GX45" i="2"/>
  <c r="AE6" i="2"/>
  <c r="AW30" i="2"/>
  <c r="FP30" i="2"/>
  <c r="FO30" i="2"/>
  <c r="CM30" i="2"/>
  <c r="CR6" i="2"/>
  <c r="AN6" i="2"/>
  <c r="HD45" i="2"/>
  <c r="FD45" i="2"/>
  <c r="CU45" i="2"/>
  <c r="CX53" i="2"/>
  <c r="FK45" i="2"/>
  <c r="L45" i="2"/>
  <c r="FC45" i="2"/>
  <c r="EV45" i="2"/>
  <c r="CA45" i="2"/>
  <c r="CV45" i="2"/>
  <c r="Y45" i="2"/>
  <c r="DV45" i="2"/>
  <c r="AJ45" i="2"/>
  <c r="HO45" i="2"/>
  <c r="AX45" i="2"/>
  <c r="HH45" i="2"/>
  <c r="GP6" i="2"/>
  <c r="EP6" i="2"/>
  <c r="AY45" i="2"/>
  <c r="EP53" i="2"/>
  <c r="GT45" i="2"/>
  <c r="BR45" i="2"/>
  <c r="AW45" i="2"/>
  <c r="CW45" i="2"/>
  <c r="EX45" i="2"/>
  <c r="HT45" i="2"/>
  <c r="EK45" i="2"/>
  <c r="GG45" i="2"/>
  <c r="FH45" i="2"/>
  <c r="GP53" i="2"/>
  <c r="DR45" i="2"/>
  <c r="HM45" i="2"/>
  <c r="EI45" i="2"/>
  <c r="BA45" i="2"/>
  <c r="EQ45" i="2"/>
  <c r="AL45" i="2"/>
  <c r="HR6" i="2"/>
  <c r="HW6" i="2"/>
  <c r="HS45" i="2"/>
  <c r="EC45" i="2"/>
  <c r="GN45" i="2"/>
  <c r="DM45" i="2"/>
  <c r="CX45" i="2"/>
  <c r="CC6" i="2"/>
  <c r="CZ45" i="2"/>
  <c r="GS45" i="2"/>
  <c r="K53" i="2"/>
  <c r="O45" i="2"/>
  <c r="AS45" i="2"/>
  <c r="GM45" i="2"/>
  <c r="Z45" i="2"/>
  <c r="GK6" i="2"/>
  <c r="Z25" i="2"/>
  <c r="AB25" i="2"/>
  <c r="GX49" i="2"/>
  <c r="AD49" i="2"/>
  <c r="EP49" i="2"/>
  <c r="CM49" i="2"/>
  <c r="EV49" i="2"/>
  <c r="K49" i="2"/>
  <c r="W49" i="2"/>
  <c r="AG49" i="2"/>
  <c r="EH49" i="2"/>
  <c r="FZ49" i="2"/>
  <c r="HC10" i="2"/>
  <c r="AT45" i="2"/>
  <c r="EZ45" i="2"/>
  <c r="CI45" i="2"/>
  <c r="DI45" i="2"/>
  <c r="HJ45" i="2"/>
  <c r="CQ45" i="2"/>
  <c r="DS45" i="2"/>
  <c r="GW45" i="2"/>
  <c r="CJ45" i="2"/>
  <c r="BT25" i="2"/>
  <c r="BG25" i="2"/>
  <c r="AJ49" i="2"/>
  <c r="HK49" i="2"/>
  <c r="FL49" i="2"/>
  <c r="AV49" i="2"/>
  <c r="FE49" i="2"/>
  <c r="BO49" i="2"/>
  <c r="CA49" i="2"/>
  <c r="FS53" i="2"/>
  <c r="X10" i="2"/>
  <c r="HP49" i="2"/>
  <c r="AT49" i="2"/>
  <c r="CZ49" i="2"/>
  <c r="GL53" i="2"/>
  <c r="GD53" i="2"/>
  <c r="CH45" i="2"/>
  <c r="AM45" i="2"/>
  <c r="P45" i="2"/>
  <c r="GL45" i="2"/>
  <c r="BH45" i="2"/>
  <c r="BT45" i="2"/>
  <c r="U45" i="2"/>
  <c r="HC45" i="2"/>
  <c r="IA45" i="2"/>
  <c r="DL45" i="2"/>
  <c r="BL45" i="2"/>
  <c r="BO45" i="2"/>
  <c r="DJ45" i="2"/>
  <c r="FJ45" i="2"/>
  <c r="BQ25" i="2"/>
  <c r="GZ25" i="2"/>
  <c r="EM25" i="2"/>
  <c r="GB49" i="2"/>
  <c r="HZ49" i="2"/>
  <c r="HN49" i="2"/>
  <c r="BJ49" i="2"/>
  <c r="FM49" i="2"/>
  <c r="AI49" i="2"/>
  <c r="BA49" i="2"/>
  <c r="BN49" i="2"/>
  <c r="EQ49" i="2"/>
  <c r="DT49" i="2"/>
  <c r="HU45" i="2"/>
  <c r="AZ45" i="2"/>
  <c r="EU45" i="2"/>
  <c r="DB45" i="2"/>
  <c r="DY45" i="2"/>
  <c r="GY45" i="2"/>
  <c r="FF45" i="2"/>
  <c r="R45" i="2"/>
  <c r="GZ45" i="2"/>
  <c r="DC45" i="2"/>
  <c r="AO45" i="2"/>
  <c r="N45" i="2"/>
  <c r="DX45" i="2"/>
  <c r="W45" i="2"/>
  <c r="HV45" i="2"/>
  <c r="FI25" i="2"/>
  <c r="DQ49" i="2"/>
  <c r="BW49" i="2"/>
  <c r="DP49" i="2"/>
  <c r="EL49" i="2"/>
  <c r="EY49" i="2"/>
  <c r="FU49" i="2"/>
  <c r="CH49" i="2"/>
  <c r="EN49" i="2"/>
  <c r="CN10" i="2"/>
  <c r="GR45" i="2"/>
  <c r="ES45" i="2"/>
  <c r="BP45" i="2"/>
  <c r="BS45" i="2"/>
  <c r="AB45" i="2"/>
  <c r="DW45" i="2"/>
  <c r="BV45" i="2"/>
  <c r="AQ45" i="2"/>
  <c r="DP45" i="2"/>
  <c r="CE45" i="2"/>
  <c r="GV45" i="2"/>
  <c r="BZ45" i="2"/>
  <c r="GJ45" i="2"/>
  <c r="M45" i="2"/>
  <c r="DO45" i="2"/>
  <c r="CA25" i="2"/>
  <c r="CB25" i="2"/>
  <c r="HV25" i="2"/>
  <c r="AH31" i="2"/>
  <c r="HA49" i="2"/>
  <c r="AS49" i="2"/>
  <c r="BF49" i="2"/>
  <c r="FK49" i="2"/>
  <c r="HD49" i="2"/>
  <c r="FO49" i="2"/>
  <c r="DC49" i="2"/>
  <c r="DG49" i="2"/>
  <c r="HS49" i="2"/>
  <c r="FW10" i="2"/>
  <c r="FS25" i="2"/>
  <c r="HO49" i="2"/>
  <c r="FQ49" i="2"/>
  <c r="DH45" i="2"/>
  <c r="BI45" i="2"/>
  <c r="CK45" i="2"/>
  <c r="FB45" i="2"/>
  <c r="HQ45" i="2"/>
  <c r="HF45" i="2"/>
  <c r="DQ45" i="2"/>
  <c r="AN45" i="2"/>
  <c r="T45" i="2"/>
  <c r="CL45" i="2"/>
  <c r="EL45" i="2"/>
  <c r="S45" i="2"/>
  <c r="CN45" i="2"/>
  <c r="BY45" i="2"/>
  <c r="AQ25" i="2"/>
  <c r="AO25" i="2"/>
  <c r="HO25" i="2"/>
  <c r="CF49" i="2"/>
  <c r="EC49" i="2"/>
  <c r="EA49" i="2"/>
  <c r="GA49" i="2"/>
  <c r="BZ49" i="2"/>
  <c r="CB49" i="2"/>
  <c r="FS49" i="2"/>
  <c r="EZ49" i="2"/>
  <c r="EH10" i="2"/>
  <c r="FK10" i="2"/>
  <c r="HI10" i="2"/>
  <c r="HS10" i="2"/>
  <c r="HD10" i="2"/>
  <c r="ES10" i="2"/>
  <c r="AU10" i="2"/>
  <c r="BF10" i="2"/>
  <c r="BL10" i="2"/>
  <c r="DL10" i="2"/>
  <c r="FW6" i="2"/>
  <c r="GO6" i="2"/>
  <c r="BS6" i="2"/>
  <c r="AW6" i="2"/>
  <c r="AS6" i="2"/>
  <c r="BP6" i="2"/>
  <c r="FT6" i="2"/>
  <c r="AZ6" i="2"/>
  <c r="ET45" i="2"/>
  <c r="AE45" i="2"/>
  <c r="AF6" i="2"/>
  <c r="BN6" i="2"/>
  <c r="BW45" i="2"/>
  <c r="DO6" i="2"/>
  <c r="CD6" i="2"/>
  <c r="GA6" i="2"/>
  <c r="GX6" i="2"/>
  <c r="BB6" i="2"/>
  <c r="FE6" i="2"/>
  <c r="GC6" i="2"/>
  <c r="BA48" i="2"/>
  <c r="FQ48" i="2"/>
  <c r="AO48" i="2"/>
  <c r="DC23" i="2"/>
  <c r="FS23" i="2"/>
  <c r="AV48" i="2"/>
  <c r="FT48" i="2"/>
  <c r="AN48" i="2"/>
  <c r="Y48" i="2"/>
  <c r="FK48" i="2"/>
  <c r="EO48" i="2"/>
  <c r="Q48" i="2"/>
  <c r="EU48" i="2"/>
  <c r="DC48" i="2"/>
  <c r="HY48" i="2"/>
  <c r="HV48" i="2"/>
  <c r="GK23" i="2"/>
  <c r="FG48" i="2"/>
  <c r="BW48" i="2"/>
  <c r="EX48" i="2"/>
  <c r="HL48" i="2"/>
  <c r="U48" i="2"/>
  <c r="HS48" i="2"/>
  <c r="AQ48" i="2"/>
  <c r="AX48" i="2"/>
  <c r="FX48" i="2"/>
  <c r="DV48" i="2"/>
  <c r="EG48" i="2"/>
  <c r="BT48" i="2"/>
  <c r="BK48" i="2"/>
  <c r="BC48" i="2"/>
  <c r="CJ48" i="2"/>
  <c r="BU48" i="2"/>
  <c r="DG48" i="2"/>
  <c r="DQ48" i="2"/>
  <c r="AE48" i="2"/>
  <c r="CO48" i="2"/>
  <c r="AL48" i="2"/>
  <c r="HD23" i="2"/>
  <c r="AT23" i="2"/>
  <c r="HD48" i="2"/>
  <c r="GT48" i="2"/>
  <c r="FM48" i="2"/>
  <c r="FE48" i="2"/>
  <c r="EP48" i="2"/>
  <c r="CN48" i="2"/>
  <c r="CU48" i="2"/>
  <c r="GQ48" i="2"/>
  <c r="DX48" i="2"/>
  <c r="GR48" i="2"/>
  <c r="HN48" i="2"/>
  <c r="DL48" i="2"/>
  <c r="HF48" i="2"/>
  <c r="CT48" i="2"/>
  <c r="DS48" i="2"/>
  <c r="N48" i="2"/>
  <c r="HT48" i="2"/>
  <c r="BP48" i="2"/>
  <c r="AS48" i="2"/>
  <c r="FP48" i="2"/>
  <c r="EL48" i="2"/>
  <c r="V48" i="2"/>
  <c r="ED48" i="2"/>
  <c r="BY48" i="2"/>
  <c r="CB48" i="2"/>
  <c r="CX48" i="2"/>
  <c r="AY48" i="2"/>
  <c r="DK48" i="2"/>
  <c r="AF48" i="2"/>
  <c r="BL6" i="2"/>
  <c r="BD48" i="2"/>
  <c r="CT23" i="2"/>
  <c r="BN25" i="2"/>
  <c r="BV25" i="2"/>
  <c r="FV31" i="2"/>
  <c r="AC49" i="2"/>
  <c r="FP49" i="2"/>
  <c r="X49" i="2"/>
  <c r="DD49" i="2"/>
  <c r="DK49" i="2"/>
  <c r="IA49" i="2"/>
  <c r="BY49" i="2"/>
  <c r="BR49" i="2"/>
  <c r="CK49" i="2"/>
  <c r="CS49" i="2"/>
  <c r="ET49" i="2"/>
  <c r="T49" i="2"/>
  <c r="DN49" i="2"/>
  <c r="AX49" i="2"/>
  <c r="EM45" i="2"/>
  <c r="AZ48" i="2"/>
  <c r="AR45" i="2"/>
  <c r="EQ25" i="2"/>
  <c r="DX49" i="2"/>
  <c r="BC49" i="2"/>
  <c r="HR49" i="2"/>
  <c r="ED49" i="2"/>
  <c r="GZ49" i="2"/>
  <c r="CI49" i="2"/>
  <c r="HT49" i="2"/>
  <c r="BH49" i="2"/>
  <c r="M49" i="2"/>
  <c r="DY49" i="2"/>
  <c r="EM49" i="2"/>
  <c r="BZ48" i="2"/>
  <c r="FX25" i="2"/>
  <c r="EX49" i="2"/>
  <c r="GU49" i="2"/>
  <c r="CJ49" i="2"/>
  <c r="BE49" i="2"/>
  <c r="AY49" i="2"/>
  <c r="EW49" i="2"/>
  <c r="FA49" i="2"/>
  <c r="EB49" i="2"/>
  <c r="BL49" i="2"/>
  <c r="CY49" i="2"/>
  <c r="HU49" i="2"/>
  <c r="V49" i="2"/>
  <c r="AQ49" i="2"/>
  <c r="CN49" i="2"/>
  <c r="CP49" i="2"/>
  <c r="EF45" i="2"/>
  <c r="HP48" i="2"/>
  <c r="EC48" i="2"/>
  <c r="GI45" i="2"/>
  <c r="AJ53" i="2"/>
  <c r="U53" i="2"/>
  <c r="HW53" i="2"/>
  <c r="HX10" i="2"/>
  <c r="AL53" i="2"/>
  <c r="GN53" i="2"/>
  <c r="FW53" i="2"/>
  <c r="EH53" i="2"/>
  <c r="BO53" i="2"/>
  <c r="CG53" i="2"/>
  <c r="FD53" i="2"/>
  <c r="FV53" i="2"/>
  <c r="GS10" i="2"/>
  <c r="AR53" i="2"/>
  <c r="HZ53" i="2"/>
  <c r="FX6" i="2"/>
  <c r="FF53" i="2"/>
  <c r="HT53" i="2"/>
  <c r="AN53" i="2"/>
  <c r="BM53" i="2"/>
  <c r="DD53" i="2"/>
  <c r="EJ53" i="2"/>
  <c r="Q53" i="2"/>
  <c r="HO53" i="2"/>
  <c r="AG53" i="2"/>
  <c r="CR53" i="2"/>
  <c r="FB53" i="2"/>
  <c r="HY53" i="2"/>
  <c r="CL53" i="2"/>
  <c r="HS53" i="2"/>
  <c r="BS53" i="2"/>
  <c r="FX53" i="2"/>
  <c r="GI53" i="2"/>
  <c r="GA53" i="2"/>
  <c r="DT53" i="2"/>
  <c r="CP30" i="2"/>
  <c r="HV53" i="2"/>
  <c r="FC9" i="2"/>
  <c r="FP23" i="2"/>
  <c r="HR31" i="2"/>
  <c r="ER31" i="2"/>
  <c r="Y23" i="2"/>
  <c r="HC26" i="2"/>
  <c r="U31" i="2"/>
  <c r="HD31" i="2"/>
  <c r="HW45" i="2"/>
  <c r="AD26" i="2"/>
  <c r="DG23" i="2"/>
  <c r="HE23" i="2"/>
  <c r="EN23" i="2"/>
  <c r="GB23" i="2"/>
  <c r="IA26" i="2"/>
  <c r="EE31" i="2"/>
  <c r="GQ45" i="2"/>
  <c r="DE45" i="2"/>
  <c r="GP45" i="2"/>
  <c r="CB45" i="2"/>
  <c r="M26" i="2"/>
  <c r="BA23" i="2"/>
  <c r="AD45" i="2"/>
  <c r="FL45" i="2"/>
  <c r="GH45" i="2"/>
  <c r="FW23" i="2"/>
  <c r="GN23" i="2"/>
  <c r="FN23" i="2"/>
  <c r="AX31" i="2"/>
  <c r="HZ45" i="2"/>
  <c r="CZ31" i="2"/>
  <c r="BH8" i="2"/>
  <c r="AB31" i="2"/>
  <c r="HX31" i="2"/>
  <c r="DQ8" i="2"/>
  <c r="HM8" i="2"/>
  <c r="HH8" i="2"/>
  <c r="GL8" i="2"/>
  <c r="GH8" i="2"/>
  <c r="Q8" i="2"/>
  <c r="P8" i="2"/>
  <c r="BX8" i="2"/>
  <c r="CA8" i="2"/>
  <c r="CE8" i="2"/>
  <c r="DU8" i="2"/>
  <c r="GZ8" i="2"/>
  <c r="BF8" i="2"/>
  <c r="DM8" i="2"/>
  <c r="FK8" i="2"/>
  <c r="EG8" i="2"/>
  <c r="AR8" i="2"/>
  <c r="FD8" i="2"/>
  <c r="HT31" i="2"/>
  <c r="EY31" i="2"/>
  <c r="CH31" i="2"/>
  <c r="AS31" i="2"/>
  <c r="BY31" i="2"/>
  <c r="GE31" i="2"/>
  <c r="GM31" i="2"/>
  <c r="BJ31" i="2"/>
  <c r="CX8" i="2"/>
  <c r="DO10" i="2"/>
  <c r="GZ10" i="2"/>
  <c r="DI10" i="2"/>
  <c r="EK23" i="2"/>
  <c r="DQ23" i="2"/>
  <c r="AS23" i="2"/>
  <c r="DT23" i="2"/>
  <c r="ET23" i="2"/>
  <c r="DV6" i="2"/>
  <c r="EX6" i="2"/>
  <c r="CL8" i="2"/>
  <c r="AT6" i="2"/>
  <c r="BG6" i="2"/>
  <c r="FU31" i="2"/>
  <c r="AQ31" i="2"/>
  <c r="DC31" i="2"/>
  <c r="EQ6" i="2"/>
  <c r="HX8" i="2"/>
  <c r="BV8" i="2"/>
  <c r="BR8" i="2"/>
  <c r="CU8" i="2"/>
  <c r="AZ8" i="2"/>
  <c r="AU8" i="2"/>
  <c r="FM8" i="2"/>
  <c r="CW8" i="2"/>
  <c r="CZ8" i="2"/>
  <c r="FH8" i="2"/>
  <c r="FC8" i="2"/>
  <c r="CK8" i="2"/>
  <c r="HE8" i="2"/>
  <c r="FG8" i="2"/>
  <c r="DR8" i="2"/>
  <c r="FY8" i="2"/>
  <c r="HW8" i="2"/>
  <c r="FU8" i="2"/>
  <c r="DD8" i="2"/>
  <c r="FJ8" i="2"/>
  <c r="HP8" i="2"/>
  <c r="DE6" i="2"/>
  <c r="EZ31" i="2"/>
  <c r="HC6" i="2"/>
  <c r="GD31" i="2"/>
  <c r="FB48" i="2"/>
  <c r="AL31" i="2"/>
  <c r="EC6" i="2"/>
  <c r="GX31" i="2"/>
  <c r="DA31" i="2"/>
  <c r="EV31" i="2"/>
  <c r="GC31" i="2"/>
  <c r="GH31" i="2"/>
  <c r="FS6" i="2"/>
  <c r="GY8" i="2"/>
  <c r="FF8" i="2"/>
  <c r="FB8" i="2"/>
  <c r="DC8" i="2"/>
  <c r="EB8" i="2"/>
  <c r="EE8" i="2"/>
  <c r="GG8" i="2"/>
  <c r="GB8" i="2"/>
  <c r="BN8" i="2"/>
  <c r="BJ8" i="2"/>
  <c r="BW8" i="2"/>
  <c r="GD8" i="2"/>
  <c r="N8" i="2"/>
  <c r="BT8" i="2"/>
  <c r="AY8" i="2"/>
  <c r="FP8" i="2"/>
  <c r="HV8" i="2"/>
  <c r="DL6" i="2"/>
  <c r="FE31" i="2"/>
  <c r="CI31" i="2"/>
  <c r="BO31" i="2"/>
  <c r="GO10" i="2"/>
  <c r="ET10" i="2"/>
  <c r="GE23" i="2"/>
  <c r="AM23" i="2"/>
  <c r="FV23" i="2"/>
  <c r="AO23" i="2"/>
  <c r="GB6" i="2"/>
  <c r="HE6" i="2"/>
  <c r="HI6" i="2"/>
  <c r="BI6" i="2"/>
  <c r="ED31" i="2"/>
  <c r="AG31" i="2"/>
  <c r="O31" i="2"/>
  <c r="AF31" i="2"/>
  <c r="T31" i="2"/>
  <c r="DS6" i="2"/>
  <c r="DS8" i="2"/>
  <c r="L8" i="2"/>
  <c r="O8" i="2"/>
  <c r="GS8" i="2"/>
  <c r="HL8" i="2"/>
  <c r="HG8" i="2"/>
  <c r="AP8" i="2"/>
  <c r="AT8" i="2"/>
  <c r="S8" i="2"/>
  <c r="DE8" i="2"/>
  <c r="DH8" i="2"/>
  <c r="EX8" i="2"/>
  <c r="ET8" i="2"/>
  <c r="CS8" i="2"/>
  <c r="BZ8" i="2"/>
  <c r="EF8" i="2"/>
  <c r="HQ8" i="2"/>
  <c r="M8" i="2"/>
  <c r="BK8" i="2"/>
  <c r="CK6" i="2"/>
  <c r="CK31" i="2"/>
  <c r="N31" i="2"/>
  <c r="CF6" i="2"/>
  <c r="AA25" i="2"/>
  <c r="CQ31" i="2"/>
  <c r="BK31" i="2"/>
  <c r="BQ10" i="2"/>
  <c r="HL10" i="2"/>
  <c r="DM10" i="2"/>
  <c r="DU23" i="2"/>
  <c r="DH10" i="2"/>
  <c r="DI23" i="2"/>
  <c r="X23" i="2"/>
  <c r="BC26" i="2"/>
  <c r="DH6" i="2"/>
  <c r="EK6" i="2"/>
  <c r="BU6" i="2"/>
  <c r="BD8" i="2"/>
  <c r="EB6" i="2"/>
  <c r="BB31" i="2"/>
  <c r="EA31" i="2"/>
  <c r="BC31" i="2"/>
  <c r="FD31" i="2"/>
  <c r="CF31" i="2"/>
  <c r="FZ6" i="2"/>
  <c r="HY8" i="2"/>
  <c r="CV8" i="2"/>
  <c r="CQ8" i="2"/>
  <c r="BM8" i="2"/>
  <c r="CG8" i="2"/>
  <c r="CB8" i="2"/>
  <c r="DZ8" i="2"/>
  <c r="DV8" i="2"/>
  <c r="BE8" i="2"/>
  <c r="GO8" i="2"/>
  <c r="GJ8" i="2"/>
  <c r="HZ8" i="2"/>
  <c r="CI8" i="2"/>
  <c r="CC8" i="2"/>
  <c r="CF8" i="2"/>
  <c r="EL8" i="2"/>
  <c r="GR8" i="2"/>
  <c r="R8" i="2"/>
  <c r="BY8" i="2"/>
  <c r="DW8" i="2"/>
  <c r="IA6" i="2"/>
  <c r="GL31" i="2"/>
  <c r="BA6" i="2"/>
  <c r="GH53" i="2"/>
  <c r="AI53" i="2"/>
  <c r="FA53" i="2"/>
  <c r="FC53" i="2"/>
  <c r="EB53" i="2"/>
  <c r="GR53" i="2"/>
  <c r="GC53" i="2"/>
  <c r="HU53" i="2"/>
  <c r="BL53" i="2"/>
  <c r="DW53" i="2"/>
  <c r="DF53" i="2"/>
  <c r="HR53" i="2"/>
  <c r="FE53" i="2"/>
  <c r="FT53" i="2"/>
  <c r="P53" i="2"/>
  <c r="EW53" i="2"/>
  <c r="DN53" i="2"/>
  <c r="BA53" i="2"/>
  <c r="DY53" i="2"/>
  <c r="EQ53" i="2"/>
  <c r="AK53" i="2"/>
  <c r="CI53" i="2"/>
  <c r="FG26" i="2"/>
  <c r="CQ6" i="2"/>
  <c r="GN6" i="2"/>
  <c r="CS6" i="2"/>
  <c r="FD6" i="2"/>
  <c r="AD6" i="2"/>
  <c r="DZ6" i="2"/>
  <c r="HH6" i="2"/>
  <c r="FG6" i="2"/>
  <c r="GD6" i="2"/>
  <c r="BZ6" i="2"/>
  <c r="GR6" i="2"/>
  <c r="HO6" i="2"/>
  <c r="AM53" i="2"/>
  <c r="EO53" i="2"/>
  <c r="FL53" i="2"/>
  <c r="CP53" i="2"/>
  <c r="CQ53" i="2"/>
  <c r="CF53" i="2"/>
  <c r="AY53" i="2"/>
  <c r="BK53" i="2"/>
  <c r="Z53" i="2"/>
  <c r="BX53" i="2"/>
  <c r="DA53" i="2"/>
  <c r="CW53" i="2"/>
  <c r="CU53" i="2"/>
  <c r="AU53" i="2"/>
  <c r="FQ53" i="2"/>
  <c r="CC53" i="2"/>
  <c r="BQ53" i="2"/>
  <c r="O53" i="2"/>
  <c r="BE53" i="2"/>
  <c r="DM53" i="2"/>
  <c r="AZ53" i="2"/>
  <c r="GK53" i="2"/>
  <c r="AX53" i="2"/>
  <c r="DS53" i="2"/>
  <c r="EU53" i="2"/>
  <c r="DF26" i="2"/>
  <c r="FP26" i="2"/>
  <c r="DG6" i="2"/>
  <c r="GV6" i="2"/>
  <c r="HQ6" i="2"/>
  <c r="DT6" i="2"/>
  <c r="CJ6" i="2"/>
  <c r="GG6" i="2"/>
  <c r="AX6" i="2"/>
  <c r="EN6" i="2"/>
  <c r="DC6" i="2"/>
  <c r="EL6" i="2"/>
  <c r="ES6" i="2"/>
  <c r="DJ53" i="2"/>
  <c r="X53" i="2"/>
  <c r="BZ53" i="2"/>
  <c r="DO53" i="2"/>
  <c r="FM53" i="2"/>
  <c r="EY53" i="2"/>
  <c r="AD48" i="2"/>
  <c r="AW8" i="2"/>
  <c r="AG45" i="2"/>
  <c r="ED45" i="2"/>
  <c r="HE45" i="2"/>
  <c r="CN53" i="2"/>
  <c r="CZ53" i="2"/>
  <c r="BV53" i="2"/>
  <c r="AH53" i="2"/>
  <c r="EE53" i="2"/>
  <c r="DR53" i="2"/>
  <c r="DK53" i="2"/>
  <c r="AD53" i="2"/>
  <c r="IA53" i="2"/>
  <c r="DG53" i="2"/>
  <c r="BP53" i="2"/>
  <c r="CT53" i="2"/>
  <c r="CY53" i="2"/>
  <c r="FR53" i="2"/>
  <c r="HN53" i="2"/>
  <c r="Y53" i="2"/>
  <c r="DZ53" i="2"/>
  <c r="ED53" i="2"/>
  <c r="BU53" i="2"/>
  <c r="AG26" i="2"/>
  <c r="DO26" i="2"/>
  <c r="GI6" i="2"/>
  <c r="BQ6" i="2"/>
  <c r="GE6" i="2"/>
  <c r="GH6" i="2"/>
  <c r="BH6" i="2"/>
  <c r="BM6" i="2"/>
  <c r="DF6" i="2"/>
  <c r="HB6" i="2"/>
  <c r="HS6" i="2"/>
  <c r="FC6" i="2"/>
  <c r="AK6" i="2"/>
  <c r="DK6" i="2"/>
  <c r="HG6" i="2"/>
  <c r="EO6" i="2"/>
  <c r="ER6" i="2"/>
  <c r="AM6" i="2"/>
  <c r="GS6" i="2"/>
  <c r="AH6" i="2"/>
  <c r="CJ53" i="2"/>
  <c r="FH53" i="2"/>
  <c r="CK53" i="2"/>
  <c r="AC53" i="2"/>
  <c r="AB53" i="2"/>
  <c r="CL48" i="2"/>
  <c r="AU48" i="2"/>
  <c r="EW45" i="2"/>
  <c r="CF45" i="2"/>
  <c r="BN45" i="2"/>
  <c r="DQ53" i="2"/>
  <c r="EN53" i="2"/>
  <c r="EK53" i="2"/>
  <c r="GF53" i="2"/>
  <c r="BN53" i="2"/>
  <c r="BC53" i="2"/>
  <c r="GM53" i="2"/>
  <c r="M53" i="2"/>
  <c r="FJ53" i="2"/>
  <c r="AS53" i="2"/>
  <c r="AE53" i="2"/>
  <c r="EA53" i="2"/>
  <c r="BT53" i="2"/>
  <c r="DU53" i="2"/>
  <c r="AA53" i="2"/>
  <c r="CA53" i="2"/>
  <c r="BR53" i="2"/>
  <c r="HL53" i="2"/>
  <c r="EG53" i="2"/>
  <c r="EW26" i="2"/>
  <c r="DT26" i="2"/>
  <c r="DN6" i="2"/>
  <c r="HJ6" i="2"/>
  <c r="HK6" i="2"/>
  <c r="FL6" i="2"/>
  <c r="AL6" i="2"/>
  <c r="EH6" i="2"/>
  <c r="CI6" i="2"/>
  <c r="GF6" i="2"/>
  <c r="EY6" i="2"/>
  <c r="EM6" i="2"/>
  <c r="EG6" i="2"/>
  <c r="HD6" i="2"/>
  <c r="CY6" i="2"/>
  <c r="HX53" i="2"/>
  <c r="FP53" i="2"/>
  <c r="DV53" i="2"/>
  <c r="DN48" i="2"/>
  <c r="HH48" i="2"/>
  <c r="GE45" i="2"/>
  <c r="BJ45" i="2"/>
  <c r="FI45" i="2"/>
  <c r="AC45" i="2"/>
  <c r="FY53" i="2"/>
  <c r="CD53" i="2"/>
  <c r="FN53" i="2"/>
  <c r="FU53" i="2"/>
  <c r="HK53" i="2"/>
  <c r="BY53" i="2"/>
  <c r="DL53" i="2"/>
  <c r="ET53" i="2"/>
  <c r="DB53" i="2"/>
  <c r="AF53" i="2"/>
  <c r="DH53" i="2"/>
  <c r="EM53" i="2"/>
  <c r="EI53" i="2"/>
  <c r="R53" i="2"/>
  <c r="BJ53" i="2"/>
  <c r="BB26" i="2"/>
  <c r="DR26" i="2"/>
  <c r="P26" i="2"/>
  <c r="GG53" i="2"/>
  <c r="GE53" i="2"/>
  <c r="AO53" i="2"/>
  <c r="S53" i="2"/>
  <c r="CE53" i="2"/>
  <c r="FK53" i="2"/>
  <c r="EL53" i="2"/>
  <c r="AQ53" i="2"/>
  <c r="DI53" i="2"/>
  <c r="EC53" i="2"/>
  <c r="DP53" i="2"/>
  <c r="AP53" i="2"/>
  <c r="T53" i="2"/>
  <c r="CS53" i="2"/>
  <c r="CM53" i="2"/>
  <c r="BW53" i="2"/>
  <c r="N53" i="2"/>
  <c r="ES53" i="2"/>
  <c r="BH53" i="2"/>
  <c r="GJ53" i="2"/>
  <c r="GO53" i="2"/>
  <c r="BI53" i="2"/>
  <c r="CV53" i="2"/>
  <c r="ER53" i="2"/>
  <c r="HL26" i="2"/>
  <c r="GD26" i="2"/>
  <c r="CZ6" i="2"/>
  <c r="GW6" i="2"/>
  <c r="BV6" i="2"/>
  <c r="DU6" i="2"/>
  <c r="DQ6" i="2"/>
  <c r="FR6" i="2"/>
  <c r="AR6" i="2"/>
  <c r="HV6" i="2"/>
  <c r="EW6" i="2"/>
  <c r="FY6" i="2"/>
  <c r="BT6" i="2"/>
  <c r="EF53" i="2"/>
  <c r="BD53" i="2"/>
  <c r="EX53" i="2"/>
  <c r="EE48" i="2"/>
  <c r="O48" i="2"/>
  <c r="EZ53" i="2"/>
  <c r="FI48" i="2"/>
  <c r="EA45" i="2"/>
  <c r="BM45" i="2"/>
  <c r="EN45" i="2"/>
  <c r="AA45" i="2"/>
  <c r="HX6" i="2"/>
  <c r="CX6" i="2"/>
  <c r="GT6" i="2"/>
  <c r="GM6" i="2"/>
  <c r="FB6" i="2"/>
  <c r="DR6" i="2"/>
  <c r="EF6" i="2"/>
  <c r="BB53" i="2"/>
  <c r="CH53" i="2"/>
  <c r="AW53" i="2"/>
  <c r="DU48" i="2"/>
  <c r="GB53" i="2"/>
  <c r="AC48" i="2"/>
  <c r="K45" i="2"/>
  <c r="HA45" i="2"/>
  <c r="AP45" i="2"/>
  <c r="HR45" i="2"/>
  <c r="N49" i="2"/>
  <c r="O10" i="2"/>
  <c r="HM26" i="2"/>
  <c r="CM26" i="2"/>
  <c r="FS26" i="2"/>
  <c r="AF26" i="2"/>
  <c r="GA26" i="2"/>
  <c r="S26" i="2"/>
  <c r="BY26" i="2"/>
  <c r="AA26" i="2"/>
  <c r="FP31" i="2"/>
  <c r="CD31" i="2"/>
  <c r="GQ31" i="2"/>
  <c r="IA31" i="2"/>
  <c r="BE31" i="2"/>
  <c r="EK31" i="2"/>
  <c r="FQ31" i="2"/>
  <c r="Q31" i="2"/>
  <c r="R31" i="2"/>
  <c r="CH6" i="2"/>
  <c r="BF6" i="2"/>
  <c r="DM6" i="2"/>
  <c r="FK6" i="2"/>
  <c r="DR49" i="2"/>
  <c r="CT49" i="2"/>
  <c r="DF49" i="2"/>
  <c r="BT49" i="2"/>
  <c r="EO49" i="2"/>
  <c r="BS49" i="2"/>
  <c r="BI49" i="2"/>
  <c r="DL49" i="2"/>
  <c r="CL49" i="2"/>
  <c r="FB49" i="2"/>
  <c r="EI49" i="2"/>
  <c r="AZ49" i="2"/>
  <c r="AP49" i="2"/>
  <c r="AF49" i="2"/>
  <c r="HQ49" i="2"/>
  <c r="HF49" i="2"/>
  <c r="HJ49" i="2"/>
  <c r="HB49" i="2"/>
  <c r="HL49" i="2"/>
  <c r="HY6" i="2"/>
  <c r="L53" i="2"/>
  <c r="BG53" i="2"/>
  <c r="BL48" i="2"/>
  <c r="BF53" i="2"/>
  <c r="FD48" i="2"/>
  <c r="CW48" i="2"/>
  <c r="CY45" i="2"/>
  <c r="DU45" i="2"/>
  <c r="AE49" i="2"/>
  <c r="AU54" i="2"/>
  <c r="ES26" i="2"/>
  <c r="K26" i="2"/>
  <c r="BR26" i="2"/>
  <c r="Y26" i="2"/>
  <c r="CE26" i="2"/>
  <c r="EK26" i="2"/>
  <c r="HT26" i="2"/>
  <c r="CV31" i="2"/>
  <c r="FT31" i="2"/>
  <c r="DB31" i="2"/>
  <c r="GW31" i="2"/>
  <c r="CW31" i="2"/>
  <c r="CU31" i="2"/>
  <c r="CU49" i="2"/>
  <c r="AO49" i="2"/>
  <c r="CW49" i="2"/>
  <c r="HY49" i="2"/>
  <c r="FC49" i="2"/>
  <c r="AH49" i="2"/>
  <c r="GV49" i="2"/>
  <c r="ES49" i="2"/>
  <c r="CC49" i="2"/>
  <c r="CQ49" i="2"/>
  <c r="DE49" i="2"/>
  <c r="EJ49" i="2"/>
  <c r="CE49" i="2"/>
  <c r="FF49" i="2"/>
  <c r="AU49" i="2"/>
  <c r="DM49" i="2"/>
  <c r="BM49" i="2"/>
  <c r="BB49" i="2"/>
  <c r="EV53" i="2"/>
  <c r="GF30" i="2"/>
  <c r="EF48" i="2"/>
  <c r="DF48" i="2"/>
  <c r="HM53" i="2"/>
  <c r="CI48" i="2"/>
  <c r="EA48" i="2"/>
  <c r="BQ48" i="2"/>
  <c r="AM49" i="2"/>
  <c r="DH49" i="2"/>
  <c r="BQ26" i="2"/>
  <c r="FN26" i="2"/>
  <c r="AE26" i="2"/>
  <c r="CK26" i="2"/>
  <c r="EQ26" i="2"/>
  <c r="GW26" i="2"/>
  <c r="FY50" i="2"/>
  <c r="DC53" i="2"/>
  <c r="W48" i="2"/>
  <c r="AV53" i="2"/>
  <c r="AJ48" i="2"/>
  <c r="AB48" i="2"/>
  <c r="DA48" i="2"/>
  <c r="BG49" i="2"/>
  <c r="HY50" i="2"/>
  <c r="HG49" i="2"/>
  <c r="ER26" i="2"/>
  <c r="Z26" i="2"/>
  <c r="GX26" i="2"/>
  <c r="EN26" i="2"/>
  <c r="HI26" i="2"/>
  <c r="AR26" i="2"/>
  <c r="BX31" i="2"/>
  <c r="FK31" i="2"/>
  <c r="HV49" i="2"/>
  <c r="DS49" i="2"/>
  <c r="AR49" i="2"/>
  <c r="EF49" i="2"/>
  <c r="HX49" i="2"/>
  <c r="FJ49" i="2"/>
  <c r="AB49" i="2"/>
  <c r="DZ49" i="2"/>
  <c r="FN49" i="2"/>
  <c r="CO49" i="2"/>
  <c r="FG49" i="2"/>
  <c r="O49" i="2"/>
  <c r="FN31" i="2"/>
  <c r="BX49" i="2"/>
  <c r="FG50" i="2"/>
  <c r="FI53" i="2"/>
  <c r="W53" i="2"/>
  <c r="DW48" i="2"/>
  <c r="DX53" i="2"/>
  <c r="EI48" i="2"/>
  <c r="FF48" i="2"/>
  <c r="Q45" i="2"/>
  <c r="EE45" i="2"/>
  <c r="BV49" i="2"/>
  <c r="BX26" i="2"/>
  <c r="FU26" i="2"/>
  <c r="FL26" i="2"/>
  <c r="FZ26" i="2"/>
  <c r="BF26" i="2"/>
  <c r="DO50" i="2"/>
  <c r="HY31" i="2"/>
  <c r="GY31" i="2"/>
  <c r="HZ31" i="2"/>
  <c r="EG49" i="2"/>
  <c r="FJ25" i="2"/>
  <c r="EX25" i="2"/>
  <c r="ES25" i="2"/>
  <c r="EU25" i="2"/>
  <c r="EA25" i="2"/>
  <c r="P25" i="2"/>
  <c r="Y25" i="2"/>
  <c r="IA25" i="2"/>
  <c r="ET25" i="2"/>
  <c r="DI25" i="2"/>
  <c r="DD25" i="2"/>
  <c r="EH25" i="2"/>
  <c r="GF25" i="2"/>
  <c r="X25" i="2"/>
  <c r="BM25" i="2"/>
  <c r="DS25" i="2"/>
  <c r="FY25" i="2"/>
  <c r="GH25" i="2"/>
  <c r="HL25" i="2"/>
  <c r="DV25" i="2"/>
  <c r="L25" i="2"/>
  <c r="EN25" i="2"/>
  <c r="GS48" i="2"/>
  <c r="CD45" i="2"/>
  <c r="CI25" i="2"/>
  <c r="FI49" i="2"/>
  <c r="CR49" i="2"/>
  <c r="GP28" i="2"/>
  <c r="ED28" i="2"/>
  <c r="FV10" i="2"/>
  <c r="FK25" i="2"/>
  <c r="BC25" i="2"/>
  <c r="K25" i="2"/>
  <c r="FL25" i="2"/>
  <c r="HW25" i="2"/>
  <c r="HC25" i="2"/>
  <c r="CH25" i="2"/>
  <c r="HH25" i="2"/>
  <c r="GS25" i="2"/>
  <c r="GN25" i="2"/>
  <c r="GT25" i="2"/>
  <c r="AC25" i="2"/>
  <c r="BJ25" i="2"/>
  <c r="DY25" i="2"/>
  <c r="GE25" i="2"/>
  <c r="HT25" i="2"/>
  <c r="BB25" i="2"/>
  <c r="AR25" i="2"/>
  <c r="FT25" i="2"/>
  <c r="BW25" i="2"/>
  <c r="GR25" i="2"/>
  <c r="AS25" i="2"/>
  <c r="GO25" i="2"/>
  <c r="O25" i="2"/>
  <c r="DW25" i="2"/>
  <c r="EL25" i="2"/>
  <c r="CC25" i="2"/>
  <c r="BP25" i="2"/>
  <c r="EV25" i="2"/>
  <c r="FU25" i="2"/>
  <c r="FP25" i="2"/>
  <c r="AF25" i="2"/>
  <c r="BF25" i="2"/>
  <c r="BI25" i="2"/>
  <c r="AI25" i="2"/>
  <c r="BL25" i="2"/>
  <c r="GK25" i="2"/>
  <c r="T25" i="2"/>
  <c r="AZ25" i="2"/>
  <c r="HX25" i="2"/>
  <c r="DC25" i="2"/>
  <c r="EF25" i="2"/>
  <c r="DZ25" i="2"/>
  <c r="BY25" i="2"/>
  <c r="GA25" i="2"/>
  <c r="DE10" i="2"/>
  <c r="U25" i="2"/>
  <c r="AT25" i="2"/>
  <c r="GQ25" i="2"/>
  <c r="FW25" i="2"/>
  <c r="V25" i="2"/>
  <c r="EW25" i="2"/>
  <c r="EZ25" i="2"/>
  <c r="HN25" i="2"/>
  <c r="AP25" i="2"/>
  <c r="AK25" i="2"/>
  <c r="ED25" i="2"/>
  <c r="EP25" i="2"/>
  <c r="EK25" i="2"/>
  <c r="FA25" i="2"/>
  <c r="AH25" i="2"/>
  <c r="CF25" i="2"/>
  <c r="DK25" i="2"/>
  <c r="FN25" i="2"/>
  <c r="GC25" i="2"/>
  <c r="HL31" i="2"/>
  <c r="FO50" i="2"/>
  <c r="CD25" i="2"/>
  <c r="GF54" i="2"/>
  <c r="CF28" i="2"/>
  <c r="BX25" i="2"/>
  <c r="DH25" i="2"/>
  <c r="AW25" i="2"/>
  <c r="AJ25" i="2"/>
  <c r="R25" i="2"/>
  <c r="M25" i="2"/>
  <c r="AL25" i="2"/>
  <c r="DR25" i="2"/>
  <c r="DU25" i="2"/>
  <c r="AU25" i="2"/>
  <c r="HZ25" i="2"/>
  <c r="HU25" i="2"/>
  <c r="FG25" i="2"/>
  <c r="HM25" i="2"/>
  <c r="AE25" i="2"/>
  <c r="ER25" i="2"/>
  <c r="FV25" i="2"/>
  <c r="HI25" i="2"/>
  <c r="AG25" i="2"/>
  <c r="CO6" i="2"/>
  <c r="Y31" i="2"/>
  <c r="DN25" i="2"/>
  <c r="EG25" i="2"/>
  <c r="HG25" i="2"/>
  <c r="EY8" i="2"/>
  <c r="Z49" i="2"/>
  <c r="BY54" i="2"/>
  <c r="AA28" i="2"/>
  <c r="EI25" i="2"/>
  <c r="FZ25" i="2"/>
  <c r="DQ25" i="2"/>
  <c r="DL25" i="2"/>
  <c r="FB25" i="2"/>
  <c r="DB25" i="2"/>
  <c r="W25" i="2"/>
  <c r="HB25" i="2"/>
  <c r="GW25" i="2"/>
  <c r="DO25" i="2"/>
  <c r="CE25" i="2"/>
  <c r="FM25" i="2"/>
  <c r="HS25" i="2"/>
  <c r="AN25" i="2"/>
  <c r="FF25" i="2"/>
  <c r="HD25" i="2"/>
  <c r="HQ25" i="2"/>
  <c r="BE25" i="2"/>
  <c r="DG25" i="2"/>
  <c r="EB50" i="2"/>
  <c r="EJ8" i="2"/>
  <c r="BD25" i="2"/>
  <c r="FH25" i="2"/>
  <c r="DU49" i="2"/>
  <c r="GV28" i="2"/>
  <c r="GL25" i="2"/>
  <c r="AD25" i="2"/>
  <c r="HA25" i="2"/>
  <c r="GV25" i="2"/>
  <c r="GJ25" i="2"/>
  <c r="GD25" i="2"/>
  <c r="GG25" i="2"/>
  <c r="BO25" i="2"/>
  <c r="N25" i="2"/>
  <c r="GI25" i="2"/>
  <c r="FO25" i="2"/>
  <c r="HY25" i="2"/>
  <c r="BH25" i="2"/>
  <c r="FR25" i="2"/>
  <c r="FC25" i="2"/>
  <c r="HR25" i="2"/>
  <c r="BA25" i="2"/>
  <c r="BU25" i="2"/>
  <c r="EE25" i="2"/>
  <c r="EC25" i="2"/>
  <c r="GP25" i="2"/>
  <c r="AV50" i="2"/>
  <c r="BO8" i="2"/>
  <c r="FW49" i="2"/>
  <c r="FO53" i="2"/>
  <c r="FZ53" i="2"/>
  <c r="HE48" i="2"/>
  <c r="EB48" i="2"/>
  <c r="AM48" i="2"/>
  <c r="AP48" i="2"/>
  <c r="HG48" i="2"/>
  <c r="DD48" i="2"/>
  <c r="CS45" i="2"/>
  <c r="BU45" i="2"/>
  <c r="AI45" i="2"/>
  <c r="AU45" i="2"/>
  <c r="BG45" i="2"/>
  <c r="CC45" i="2"/>
  <c r="FE45" i="2"/>
  <c r="FA45" i="2"/>
  <c r="DB49" i="2"/>
  <c r="BK49" i="2"/>
  <c r="CD48" i="2"/>
  <c r="ER48" i="2"/>
  <c r="FV48" i="2"/>
  <c r="EY48" i="2"/>
  <c r="CT45" i="2"/>
  <c r="GU45" i="2"/>
  <c r="EG45" i="2"/>
  <c r="GF45" i="2"/>
  <c r="AH45" i="2"/>
  <c r="EO45" i="2"/>
  <c r="BF45" i="2"/>
  <c r="BB45" i="2"/>
  <c r="CD49" i="2"/>
  <c r="CG49" i="2"/>
  <c r="BR28" i="2"/>
  <c r="HQ28" i="2"/>
  <c r="HU26" i="2"/>
  <c r="FM31" i="2"/>
  <c r="DQ50" i="2"/>
  <c r="AB30" i="2"/>
  <c r="DE53" i="2"/>
  <c r="CO53" i="2"/>
  <c r="AG48" i="2"/>
  <c r="ET48" i="2"/>
  <c r="AK48" i="2"/>
  <c r="HB48" i="2"/>
  <c r="AK45" i="2"/>
  <c r="DZ45" i="2"/>
  <c r="BX45" i="2"/>
  <c r="CM45" i="2"/>
  <c r="EY45" i="2"/>
  <c r="DD45" i="2"/>
  <c r="HN45" i="2"/>
  <c r="DO49" i="2"/>
  <c r="HP28" i="2"/>
  <c r="EC26" i="2"/>
  <c r="BM26" i="2"/>
  <c r="GO31" i="2"/>
  <c r="EW50" i="2"/>
  <c r="GQ53" i="2"/>
  <c r="FG53" i="2"/>
  <c r="AI48" i="2"/>
  <c r="GY48" i="2"/>
  <c r="EV48" i="2"/>
  <c r="AW48" i="2"/>
  <c r="HL45" i="2"/>
  <c r="V45" i="2"/>
  <c r="BQ45" i="2"/>
  <c r="EP45" i="2"/>
  <c r="EJ45" i="2"/>
  <c r="BC45" i="2"/>
  <c r="HK45" i="2"/>
  <c r="CO45" i="2"/>
  <c r="HP45" i="2"/>
  <c r="HM49" i="2"/>
  <c r="AN49" i="2"/>
  <c r="BD49" i="2"/>
  <c r="HZ28" i="2"/>
  <c r="EH26" i="2"/>
  <c r="DN45" i="2"/>
  <c r="AM28" i="2"/>
  <c r="EU28" i="2"/>
  <c r="DW26" i="2"/>
  <c r="GM26" i="2"/>
  <c r="HA31" i="2"/>
  <c r="AP50" i="2"/>
  <c r="HP53" i="2"/>
  <c r="HQ53" i="2"/>
  <c r="AT53" i="2"/>
  <c r="DG45" i="2"/>
  <c r="CQ28" i="2"/>
  <c r="AT28" i="2"/>
  <c r="AY28" i="2"/>
  <c r="BL26" i="2"/>
  <c r="GZ6" i="2"/>
  <c r="CJ31" i="2"/>
  <c r="HA6" i="2"/>
  <c r="CY50" i="2"/>
  <c r="AK50" i="2"/>
  <c r="CB53" i="2"/>
  <c r="BD45" i="2"/>
  <c r="AE28" i="2"/>
  <c r="EK28" i="2"/>
  <c r="BX28" i="2"/>
  <c r="CQ9" i="2"/>
  <c r="BU23" i="2"/>
  <c r="DL54" i="2"/>
  <c r="BD23" i="2"/>
  <c r="U26" i="2"/>
  <c r="GR26" i="2"/>
  <c r="FA26" i="2"/>
  <c r="AY26" i="2"/>
  <c r="BJ48" i="2"/>
  <c r="CH48" i="2"/>
  <c r="CT8" i="2"/>
  <c r="FQ8" i="2"/>
  <c r="AO8" i="2"/>
  <c r="HI8" i="2"/>
  <c r="HG45" i="2"/>
  <c r="HO48" i="2"/>
  <c r="DT8" i="2"/>
  <c r="GP8" i="2"/>
  <c r="GE8" i="2"/>
  <c r="L23" i="2"/>
  <c r="HQ23" i="2"/>
  <c r="DA9" i="2"/>
  <c r="HZ26" i="2"/>
  <c r="CH26" i="2"/>
  <c r="CJ26" i="2"/>
  <c r="AJ26" i="2"/>
  <c r="AR48" i="2"/>
  <c r="FA8" i="2"/>
  <c r="HO8" i="2"/>
  <c r="GT8" i="2"/>
  <c r="CO8" i="2"/>
  <c r="GO45" i="2"/>
  <c r="EI23" i="2"/>
  <c r="EW23" i="2"/>
  <c r="EO23" i="2"/>
  <c r="AP9" i="2"/>
  <c r="DZ26" i="2"/>
  <c r="DI26" i="2"/>
  <c r="DH26" i="2"/>
  <c r="HY26" i="2"/>
  <c r="EG50" i="2"/>
  <c r="CF48" i="2"/>
  <c r="HZ48" i="2"/>
  <c r="FZ8" i="2"/>
  <c r="GK8" i="2"/>
  <c r="HT8" i="2"/>
  <c r="K8" i="2"/>
  <c r="EI8" i="2"/>
  <c r="EU10" i="2"/>
  <c r="FY23" i="2"/>
  <c r="EZ23" i="2"/>
  <c r="BO23" i="2"/>
  <c r="GD23" i="2"/>
  <c r="W9" i="2"/>
  <c r="R26" i="2"/>
  <c r="AH26" i="2"/>
  <c r="BS26" i="2"/>
  <c r="GO26" i="2"/>
  <c r="FJ26" i="2"/>
  <c r="CU50" i="2"/>
  <c r="FR8" i="2"/>
  <c r="FT8" i="2"/>
  <c r="CJ8" i="2"/>
  <c r="GZ48" i="2"/>
  <c r="M48" i="2"/>
  <c r="GQ8" i="2"/>
  <c r="FW8" i="2"/>
  <c r="BC8" i="2"/>
  <c r="HA8" i="2"/>
  <c r="BB23" i="2"/>
  <c r="AZ23" i="2"/>
  <c r="HH23" i="2"/>
  <c r="DP9" i="2"/>
  <c r="HW26" i="2"/>
  <c r="FV26" i="2"/>
  <c r="EM26" i="2"/>
  <c r="X26" i="2"/>
  <c r="DO8" i="2"/>
  <c r="DY8" i="2"/>
  <c r="FV8" i="2"/>
  <c r="EN8" i="2"/>
  <c r="DL8" i="2"/>
  <c r="DD23" i="2"/>
  <c r="AV23" i="2"/>
  <c r="HM23" i="2"/>
  <c r="FQ9" i="2"/>
  <c r="DK50" i="2"/>
  <c r="CW50" i="2"/>
  <c r="DN8" i="2"/>
  <c r="AQ8" i="2"/>
  <c r="DJ8" i="2"/>
  <c r="GV8" i="2"/>
  <c r="HS8" i="2"/>
  <c r="ES8" i="2"/>
  <c r="BI23" i="2"/>
  <c r="GV23" i="2"/>
  <c r="GA23" i="2"/>
  <c r="HF23" i="2"/>
  <c r="DM23" i="2"/>
  <c r="GC23" i="2"/>
  <c r="BV23" i="2"/>
  <c r="HO9" i="2"/>
  <c r="K23" i="2"/>
  <c r="BZ23" i="2"/>
  <c r="HV23" i="2"/>
  <c r="ED23" i="2"/>
  <c r="HJ23" i="2"/>
  <c r="FL23" i="2"/>
  <c r="EL23" i="2"/>
  <c r="HG23" i="2"/>
  <c r="BQ23" i="2"/>
  <c r="BM9" i="2"/>
  <c r="GH9" i="2"/>
  <c r="AS9" i="2"/>
  <c r="FG28" i="2"/>
  <c r="P23" i="2"/>
  <c r="FW28" i="2"/>
  <c r="DK26" i="2"/>
  <c r="ED26" i="2"/>
  <c r="GC26" i="2"/>
  <c r="CG26" i="2"/>
  <c r="HF26" i="2"/>
  <c r="HB26" i="2"/>
  <c r="FY26" i="2"/>
  <c r="HR26" i="2"/>
  <c r="EP31" i="2"/>
  <c r="CE31" i="2"/>
  <c r="FF31" i="2"/>
  <c r="FY31" i="2"/>
  <c r="DM50" i="2"/>
  <c r="HA48" i="2"/>
  <c r="DS23" i="2"/>
  <c r="V31" i="2"/>
  <c r="BZ31" i="2"/>
  <c r="GV31" i="2"/>
  <c r="GP31" i="2"/>
  <c r="DB50" i="2"/>
  <c r="IA48" i="2"/>
  <c r="EQ8" i="2"/>
  <c r="CS48" i="2"/>
  <c r="DK23" i="2"/>
  <c r="AI23" i="2"/>
  <c r="EB23" i="2"/>
  <c r="EF23" i="2"/>
  <c r="FO23" i="2"/>
  <c r="CY23" i="2"/>
  <c r="AG23" i="2"/>
  <c r="DE23" i="2"/>
  <c r="FU23" i="2"/>
  <c r="BJ23" i="2"/>
  <c r="HR23" i="2"/>
  <c r="GH23" i="2"/>
  <c r="FA23" i="2"/>
  <c r="GY23" i="2"/>
  <c r="BL23" i="2"/>
  <c r="S23" i="2"/>
  <c r="DB9" i="2"/>
  <c r="EW9" i="2"/>
  <c r="GH26" i="2"/>
  <c r="GI31" i="2"/>
  <c r="CP31" i="2"/>
  <c r="Z31" i="2"/>
  <c r="CE50" i="2"/>
  <c r="BP30" i="2"/>
  <c r="HX48" i="2"/>
  <c r="S48" i="2"/>
  <c r="DG8" i="2"/>
  <c r="AQ23" i="2"/>
  <c r="GL23" i="2"/>
  <c r="GJ23" i="2"/>
  <c r="FT23" i="2"/>
  <c r="CU23" i="2"/>
  <c r="AE23" i="2"/>
  <c r="BE23" i="2"/>
  <c r="GP9" i="2"/>
  <c r="AX10" i="2"/>
  <c r="AK23" i="2"/>
  <c r="DA23" i="2"/>
  <c r="CX23" i="2"/>
  <c r="EX23" i="2"/>
  <c r="AJ23" i="2"/>
  <c r="EE23" i="2"/>
  <c r="DH23" i="2"/>
  <c r="DF23" i="2"/>
  <c r="EF9" i="2"/>
  <c r="FN9" i="2"/>
  <c r="CS9" i="2"/>
  <c r="GH28" i="2"/>
  <c r="BN28" i="2"/>
  <c r="GR28" i="2"/>
  <c r="DY26" i="2"/>
  <c r="AM26" i="2"/>
  <c r="FO26" i="2"/>
  <c r="FD26" i="2"/>
  <c r="EG26" i="2"/>
  <c r="DL26" i="2"/>
  <c r="HQ26" i="2"/>
  <c r="GE26" i="2"/>
  <c r="EI31" i="2"/>
  <c r="BS31" i="2"/>
  <c r="BG31" i="2"/>
  <c r="BB50" i="2"/>
  <c r="DI48" i="2"/>
  <c r="EQ48" i="2"/>
  <c r="CP8" i="2"/>
  <c r="GT23" i="2"/>
  <c r="GW23" i="2"/>
  <c r="DJ23" i="2"/>
  <c r="AL23" i="2"/>
  <c r="BN23" i="2"/>
  <c r="AA23" i="2"/>
  <c r="DL23" i="2"/>
  <c r="ED9" i="2"/>
  <c r="IA23" i="2"/>
  <c r="FK23" i="2"/>
  <c r="FH23" i="2"/>
  <c r="HY23" i="2"/>
  <c r="CV23" i="2"/>
  <c r="M23" i="2"/>
  <c r="GP23" i="2"/>
  <c r="AD23" i="2"/>
  <c r="W23" i="2"/>
  <c r="EQ23" i="2"/>
  <c r="CW9" i="2"/>
  <c r="DI9" i="2"/>
  <c r="BU28" i="2"/>
  <c r="DG26" i="2"/>
  <c r="CF26" i="2"/>
  <c r="HV26" i="2"/>
  <c r="HA26" i="2"/>
  <c r="GF26" i="2"/>
  <c r="GQ26" i="2"/>
  <c r="EF31" i="2"/>
  <c r="M31" i="2"/>
  <c r="BE50" i="2"/>
  <c r="FH50" i="2"/>
  <c r="EJ48" i="2"/>
  <c r="DX9" i="2"/>
  <c r="BR9" i="2"/>
  <c r="FG23" i="2"/>
  <c r="GZ23" i="2"/>
  <c r="FE23" i="2"/>
  <c r="FD23" i="2"/>
  <c r="EA23" i="2"/>
  <c r="AN23" i="2"/>
  <c r="BR23" i="2"/>
  <c r="HC23" i="2"/>
  <c r="GA9" i="2"/>
  <c r="HU9" i="2"/>
  <c r="EG9" i="2"/>
  <c r="DZ23" i="2"/>
  <c r="GT28" i="2"/>
  <c r="AO26" i="2"/>
  <c r="EZ26" i="2"/>
  <c r="AT26" i="2"/>
  <c r="BN26" i="2"/>
  <c r="AK26" i="2"/>
  <c r="FO31" i="2"/>
  <c r="AO31" i="2"/>
  <c r="ES48" i="2"/>
  <c r="T48" i="2"/>
  <c r="FL48" i="2"/>
  <c r="CG45" i="2"/>
  <c r="CY48" i="2"/>
  <c r="EH45" i="2"/>
  <c r="GG23" i="2"/>
  <c r="DB23" i="2"/>
  <c r="GR23" i="2"/>
  <c r="BL9" i="2"/>
  <c r="O23" i="2"/>
  <c r="AR23" i="2"/>
  <c r="FI23" i="2"/>
  <c r="EM23" i="2"/>
  <c r="BP23" i="2"/>
  <c r="BG23" i="2"/>
  <c r="T23" i="2"/>
  <c r="EU23" i="2"/>
  <c r="HT23" i="2"/>
  <c r="CY9" i="2"/>
  <c r="BJ9" i="2"/>
  <c r="BX9" i="2"/>
  <c r="GQ23" i="2"/>
  <c r="EK48" i="2"/>
  <c r="L48" i="2"/>
  <c r="ER45" i="2"/>
  <c r="DM48" i="2"/>
  <c r="EL31" i="2"/>
  <c r="CT6" i="2"/>
  <c r="BI50" i="2"/>
  <c r="Y50" i="2"/>
  <c r="HA50" i="2"/>
  <c r="FK50" i="2"/>
  <c r="CS50" i="2"/>
  <c r="HK50" i="2"/>
  <c r="ET50" i="2"/>
  <c r="Z50" i="2"/>
  <c r="ER50" i="2"/>
  <c r="DG50" i="2"/>
  <c r="GB50" i="2"/>
  <c r="CF50" i="2"/>
  <c r="HG50" i="2"/>
  <c r="DR50" i="2"/>
  <c r="FT50" i="2"/>
  <c r="FW50" i="2"/>
  <c r="EO50" i="2"/>
  <c r="DU50" i="2"/>
  <c r="CR50" i="2"/>
  <c r="GA50" i="2"/>
  <c r="CG50" i="2"/>
  <c r="FQ30" i="2"/>
  <c r="ES30" i="2"/>
  <c r="AU30" i="2"/>
  <c r="AT30" i="2"/>
  <c r="AY30" i="2"/>
  <c r="DC30" i="2"/>
  <c r="HC30" i="2"/>
  <c r="GN30" i="2"/>
  <c r="AO30" i="2"/>
  <c r="BJ30" i="2"/>
  <c r="DB30" i="2"/>
  <c r="GY25" i="2"/>
  <c r="FQ25" i="2"/>
  <c r="BZ25" i="2"/>
  <c r="GU25" i="2"/>
  <c r="DY48" i="2"/>
  <c r="CQ48" i="2"/>
  <c r="BS48" i="2"/>
  <c r="BH48" i="2"/>
  <c r="DB48" i="2"/>
  <c r="R48" i="2"/>
  <c r="HK48" i="2"/>
  <c r="DE25" i="2"/>
  <c r="FA48" i="2"/>
  <c r="HB45" i="2"/>
  <c r="HU8" i="2"/>
  <c r="BL8" i="2"/>
  <c r="BR48" i="2"/>
  <c r="Y49" i="2"/>
  <c r="AL49" i="2"/>
  <c r="BU54" i="2"/>
  <c r="BH54" i="2"/>
  <c r="HR54" i="2"/>
  <c r="HG30" i="2"/>
  <c r="DY30" i="2"/>
  <c r="K30" i="2"/>
  <c r="BY30" i="2"/>
  <c r="DW30" i="2"/>
  <c r="T30" i="2"/>
  <c r="GT30" i="2"/>
  <c r="R54" i="2"/>
  <c r="GY30" i="2"/>
  <c r="CG30" i="2"/>
  <c r="DX30" i="2"/>
  <c r="FS54" i="2"/>
  <c r="CL54" i="2"/>
  <c r="FE54" i="2"/>
  <c r="GU26" i="2"/>
  <c r="GC50" i="2"/>
  <c r="FQ50" i="2"/>
  <c r="HZ50" i="2"/>
  <c r="BZ50" i="2"/>
  <c r="AQ50" i="2"/>
  <c r="FR50" i="2"/>
  <c r="AE50" i="2"/>
  <c r="AO50" i="2"/>
  <c r="AC50" i="2"/>
  <c r="FV50" i="2"/>
  <c r="BF50" i="2"/>
  <c r="FJ50" i="2"/>
  <c r="GD50" i="2"/>
  <c r="BM50" i="2"/>
  <c r="AS50" i="2"/>
  <c r="EH50" i="2"/>
  <c r="K50" i="2"/>
  <c r="HE50" i="2"/>
  <c r="DX50" i="2"/>
  <c r="AI50" i="2"/>
  <c r="ES50" i="2"/>
  <c r="GH30" i="2"/>
  <c r="EQ30" i="2"/>
  <c r="GM30" i="2"/>
  <c r="BX30" i="2"/>
  <c r="BI30" i="2"/>
  <c r="GQ30" i="2"/>
  <c r="HP25" i="2"/>
  <c r="BN48" i="2"/>
  <c r="DR48" i="2"/>
  <c r="HR48" i="2"/>
  <c r="DJ48" i="2"/>
  <c r="BM48" i="2"/>
  <c r="DZ48" i="2"/>
  <c r="BX48" i="2"/>
  <c r="BV48" i="2"/>
  <c r="EB45" i="2"/>
  <c r="GU8" i="2"/>
  <c r="AV45" i="2"/>
  <c r="GN8" i="2"/>
  <c r="CC48" i="2"/>
  <c r="DV49" i="2"/>
  <c r="DJ49" i="2"/>
  <c r="FX49" i="2"/>
  <c r="S49" i="2"/>
  <c r="CV49" i="2"/>
  <c r="R49" i="2"/>
  <c r="HE49" i="2"/>
  <c r="EU49" i="2"/>
  <c r="HI49" i="2"/>
  <c r="FV49" i="2"/>
  <c r="DI49" i="2"/>
  <c r="AD30" i="2"/>
  <c r="EB30" i="2"/>
  <c r="EY30" i="2"/>
  <c r="HA30" i="2"/>
  <c r="CZ30" i="2"/>
  <c r="CB30" i="2"/>
  <c r="BD30" i="2"/>
  <c r="AF30" i="2"/>
  <c r="HR30" i="2"/>
  <c r="FN30" i="2"/>
  <c r="FK30" i="2"/>
  <c r="FZ30" i="2"/>
  <c r="BQ30" i="2"/>
  <c r="EA30" i="2"/>
  <c r="GS30" i="2"/>
  <c r="CC30" i="2"/>
  <c r="AH30" i="2"/>
  <c r="AG30" i="2"/>
  <c r="GL30" i="2"/>
  <c r="AP30" i="2"/>
  <c r="CJ30" i="2"/>
  <c r="FC30" i="2"/>
  <c r="FR30" i="2"/>
  <c r="HN30" i="2"/>
  <c r="AK30" i="2"/>
  <c r="BH30" i="2"/>
  <c r="HJ30" i="2"/>
  <c r="BF30" i="2"/>
  <c r="P30" i="2"/>
  <c r="FV30" i="2"/>
  <c r="FT30" i="2"/>
  <c r="GR30" i="2"/>
  <c r="EX30" i="2"/>
  <c r="HE30" i="2"/>
  <c r="AC30" i="2"/>
  <c r="AZ30" i="2"/>
  <c r="DA30" i="2"/>
  <c r="AN30" i="2"/>
  <c r="GB30" i="2"/>
  <c r="FD30" i="2"/>
  <c r="DZ30" i="2"/>
  <c r="BT30" i="2"/>
  <c r="W30" i="2"/>
  <c r="BB30" i="2"/>
  <c r="EJ30" i="2"/>
  <c r="FW30" i="2"/>
  <c r="AQ30" i="2"/>
  <c r="CT30" i="2"/>
  <c r="BV30" i="2"/>
  <c r="AX30" i="2"/>
  <c r="AV30" i="2"/>
  <c r="CL30" i="2"/>
  <c r="R30" i="2"/>
  <c r="CK30" i="2"/>
  <c r="GV30" i="2"/>
  <c r="EN30" i="2"/>
  <c r="GK30" i="2"/>
  <c r="AM30" i="2"/>
  <c r="BM30" i="2"/>
  <c r="HV30" i="2"/>
  <c r="EH30" i="2"/>
  <c r="CR30" i="2"/>
  <c r="FY30" i="2"/>
  <c r="BO30" i="2"/>
  <c r="CH30" i="2"/>
  <c r="CY30" i="2"/>
  <c r="FE30" i="2"/>
  <c r="ER30" i="2"/>
  <c r="BS30" i="2"/>
  <c r="EI30" i="2"/>
  <c r="GW30" i="2"/>
  <c r="HL30" i="2"/>
  <c r="CU30" i="2"/>
  <c r="Y30" i="2"/>
  <c r="CK54" i="2"/>
  <c r="AK54" i="2"/>
  <c r="BC30" i="2"/>
  <c r="EZ30" i="2"/>
  <c r="FF30" i="2"/>
  <c r="BV54" i="2"/>
  <c r="CZ54" i="2"/>
  <c r="AY9" i="2"/>
  <c r="BP9" i="2"/>
  <c r="EU9" i="2"/>
  <c r="DJ9" i="2"/>
  <c r="BC50" i="2"/>
  <c r="HK26" i="2"/>
  <c r="BZ26" i="2"/>
  <c r="EG31" i="2"/>
  <c r="BN31" i="2"/>
  <c r="DG31" i="2"/>
  <c r="AE31" i="2"/>
  <c r="AX50" i="2"/>
  <c r="BH50" i="2"/>
  <c r="DJ50" i="2"/>
  <c r="HI50" i="2"/>
  <c r="BY50" i="2"/>
  <c r="DA50" i="2"/>
  <c r="HS50" i="2"/>
  <c r="FU50" i="2"/>
  <c r="IA50" i="2"/>
  <c r="DY50" i="2"/>
  <c r="DE50" i="2"/>
  <c r="BV50" i="2"/>
  <c r="HW50" i="2"/>
  <c r="AT50" i="2"/>
  <c r="CT50" i="2"/>
  <c r="EZ50" i="2"/>
  <c r="DV50" i="2"/>
  <c r="HV50" i="2"/>
  <c r="FI50" i="2"/>
  <c r="ET31" i="2"/>
  <c r="GA30" i="2"/>
  <c r="FX30" i="2"/>
  <c r="BA30" i="2"/>
  <c r="DV30" i="2"/>
  <c r="EG30" i="2"/>
  <c r="GE30" i="2"/>
  <c r="EY25" i="2"/>
  <c r="HW48" i="2"/>
  <c r="BR25" i="2"/>
  <c r="HM48" i="2"/>
  <c r="EN48" i="2"/>
  <c r="FC48" i="2"/>
  <c r="AT48" i="2"/>
  <c r="BG48" i="2"/>
  <c r="FW48" i="2"/>
  <c r="FU48" i="2"/>
  <c r="P48" i="2"/>
  <c r="CG48" i="2"/>
  <c r="DT48" i="2"/>
  <c r="X48" i="2"/>
  <c r="DK45" i="2"/>
  <c r="HY45" i="2"/>
  <c r="AY25" i="2"/>
  <c r="HJ25" i="2"/>
  <c r="AA49" i="2"/>
  <c r="FD49" i="2"/>
  <c r="Q49" i="2"/>
  <c r="P49" i="2"/>
  <c r="HH49" i="2"/>
  <c r="HO30" i="2"/>
  <c r="CS30" i="2"/>
  <c r="GU30" i="2"/>
  <c r="AL30" i="2"/>
  <c r="FI30" i="2"/>
  <c r="AA30" i="2"/>
  <c r="X30" i="2"/>
  <c r="HF30" i="2"/>
  <c r="CF30" i="2"/>
  <c r="GO54" i="2"/>
  <c r="AW9" i="2"/>
  <c r="EB9" i="2"/>
  <c r="HG9" i="2"/>
  <c r="FV9" i="2"/>
  <c r="ET54" i="2"/>
  <c r="EG54" i="2"/>
  <c r="HF50" i="2"/>
  <c r="FB26" i="2"/>
  <c r="GN26" i="2"/>
  <c r="CA50" i="2"/>
  <c r="HO50" i="2"/>
  <c r="AG50" i="2"/>
  <c r="EY50" i="2"/>
  <c r="HP50" i="2"/>
  <c r="AY50" i="2"/>
  <c r="CZ50" i="2"/>
  <c r="BG50" i="2"/>
  <c r="AD50" i="2"/>
  <c r="BL50" i="2"/>
  <c r="HL50" i="2"/>
  <c r="AL50" i="2"/>
  <c r="AF50" i="2"/>
  <c r="BW50" i="2"/>
  <c r="DN50" i="2"/>
  <c r="FZ50" i="2"/>
  <c r="AJ50" i="2"/>
  <c r="HT50" i="2"/>
  <c r="X50" i="2"/>
  <c r="AB50" i="2"/>
  <c r="CQ30" i="2"/>
  <c r="CI30" i="2"/>
  <c r="HQ30" i="2"/>
  <c r="HD30" i="2"/>
  <c r="AS30" i="2"/>
  <c r="CD30" i="2"/>
  <c r="GO30" i="2"/>
  <c r="Z30" i="2"/>
  <c r="BG30" i="2"/>
  <c r="HY30" i="2"/>
  <c r="AX25" i="2"/>
  <c r="EJ25" i="2"/>
  <c r="FB30" i="2"/>
  <c r="S25" i="2"/>
  <c r="HF25" i="2"/>
  <c r="BI48" i="2"/>
  <c r="FS48" i="2"/>
  <c r="BF48" i="2"/>
  <c r="FR48" i="2"/>
  <c r="AA48" i="2"/>
  <c r="HC48" i="2"/>
  <c r="CK48" i="2"/>
  <c r="GX48" i="2"/>
  <c r="CP48" i="2"/>
  <c r="BO48" i="2"/>
  <c r="ET30" i="2"/>
  <c r="BE30" i="2"/>
  <c r="AR30" i="2"/>
  <c r="CX30" i="2"/>
  <c r="CO30" i="2"/>
  <c r="FM30" i="2"/>
  <c r="EF30" i="2"/>
  <c r="DZ54" i="2"/>
  <c r="EL30" i="2"/>
  <c r="L30" i="2"/>
  <c r="DU54" i="2"/>
  <c r="FT54" i="2"/>
  <c r="DB54" i="2"/>
  <c r="CY54" i="2"/>
  <c r="ED50" i="2"/>
  <c r="CH50" i="2"/>
  <c r="FN50" i="2"/>
  <c r="HQ50" i="2"/>
  <c r="FB50" i="2"/>
  <c r="DS50" i="2"/>
  <c r="FE50" i="2"/>
  <c r="EL50" i="2"/>
  <c r="GZ50" i="2"/>
  <c r="EF50" i="2"/>
  <c r="EA50" i="2"/>
  <c r="CX50" i="2"/>
  <c r="BO50" i="2"/>
  <c r="DF50" i="2"/>
  <c r="BN50" i="2"/>
  <c r="EQ50" i="2"/>
  <c r="BK50" i="2"/>
  <c r="BD50" i="2"/>
  <c r="DD50" i="2"/>
  <c r="BS50" i="2"/>
  <c r="CL50" i="2"/>
  <c r="CN50" i="2"/>
  <c r="DC50" i="2"/>
  <c r="GX30" i="2"/>
  <c r="GP30" i="2"/>
  <c r="CW30" i="2"/>
  <c r="EC30" i="2"/>
  <c r="AI30" i="2"/>
  <c r="HM30" i="2"/>
  <c r="EV30" i="2"/>
  <c r="HH30" i="2"/>
  <c r="DJ25" i="2"/>
  <c r="HE25" i="2"/>
  <c r="FE25" i="2"/>
  <c r="DP25" i="2"/>
  <c r="DX25" i="2"/>
  <c r="HK25" i="2"/>
  <c r="AM25" i="2"/>
  <c r="FT49" i="2"/>
  <c r="GW49" i="2"/>
  <c r="DA49" i="2"/>
  <c r="HP30" i="2"/>
  <c r="EU30" i="2"/>
  <c r="BZ30" i="2"/>
  <c r="Q30" i="2"/>
  <c r="FJ30" i="2"/>
  <c r="U30" i="2"/>
  <c r="FL30" i="2"/>
  <c r="GJ54" i="2"/>
  <c r="BR30" i="2"/>
  <c r="FG30" i="2"/>
  <c r="HK23" i="2"/>
  <c r="BS23" i="2"/>
  <c r="R23" i="2"/>
  <c r="GU23" i="2"/>
  <c r="BK23" i="2"/>
  <c r="EJ23" i="2"/>
  <c r="ER23" i="2"/>
  <c r="HA23" i="2"/>
  <c r="GO23" i="2"/>
  <c r="HH9" i="2"/>
  <c r="Q9" i="2"/>
  <c r="FI9" i="2"/>
  <c r="CE9" i="2"/>
  <c r="EJ9" i="2"/>
  <c r="EZ28" i="2"/>
  <c r="O54" i="2"/>
  <c r="CC28" i="2"/>
  <c r="GK54" i="2"/>
  <c r="BR50" i="2"/>
  <c r="HO26" i="2"/>
  <c r="FA31" i="2"/>
  <c r="AK31" i="2"/>
  <c r="AJ31" i="2"/>
  <c r="O50" i="2"/>
  <c r="HM50" i="2"/>
  <c r="BJ50" i="2"/>
  <c r="BP50" i="2"/>
  <c r="P50" i="2"/>
  <c r="W50" i="2"/>
  <c r="EJ50" i="2"/>
  <c r="CB50" i="2"/>
  <c r="HN50" i="2"/>
  <c r="FX50" i="2"/>
  <c r="AH50" i="2"/>
  <c r="EI50" i="2"/>
  <c r="AU50" i="2"/>
  <c r="EN50" i="2"/>
  <c r="T50" i="2"/>
  <c r="EE50" i="2"/>
  <c r="EX50" i="2"/>
  <c r="GF50" i="2"/>
  <c r="EM50" i="2"/>
  <c r="AW50" i="2"/>
  <c r="FA50" i="2"/>
  <c r="O30" i="2"/>
  <c r="IA30" i="2"/>
  <c r="GG30" i="2"/>
  <c r="BL30" i="2"/>
  <c r="HK30" i="2"/>
  <c r="AJ30" i="2"/>
  <c r="HT30" i="2"/>
  <c r="BU30" i="2"/>
  <c r="GM25" i="2"/>
  <c r="FD25" i="2"/>
  <c r="EO25" i="2"/>
  <c r="DO48" i="2"/>
  <c r="BK25" i="2"/>
  <c r="FH48" i="2"/>
  <c r="AH48" i="2"/>
  <c r="GV48" i="2"/>
  <c r="BE48" i="2"/>
  <c r="CM48" i="2"/>
  <c r="CR48" i="2"/>
  <c r="EZ48" i="2"/>
  <c r="CA48" i="2"/>
  <c r="DH48" i="2"/>
  <c r="HU48" i="2"/>
  <c r="FN8" i="2"/>
  <c r="BI8" i="2"/>
  <c r="CM8" i="2"/>
  <c r="EV8" i="2"/>
  <c r="DF45" i="2"/>
  <c r="BE45" i="2"/>
  <c r="DT45" i="2"/>
  <c r="HI45" i="2"/>
  <c r="HX45" i="2"/>
  <c r="EH48" i="2"/>
  <c r="GU48" i="2"/>
  <c r="Q25" i="2"/>
  <c r="DP48" i="2"/>
  <c r="FN48" i="2"/>
  <c r="BK45" i="2"/>
  <c r="EA8" i="2"/>
  <c r="DE48" i="2"/>
  <c r="ER49" i="2"/>
  <c r="FH49" i="2"/>
  <c r="AK49" i="2"/>
  <c r="AW49" i="2"/>
  <c r="BP49" i="2"/>
  <c r="IA54" i="2"/>
  <c r="BP54" i="2"/>
  <c r="HR50" i="2"/>
  <c r="V50" i="2"/>
  <c r="CD50" i="2"/>
  <c r="CQ50" i="2"/>
  <c r="M50" i="2"/>
  <c r="EV50" i="2"/>
  <c r="FM50" i="2"/>
  <c r="CO50" i="2"/>
  <c r="EP50" i="2"/>
  <c r="BX50" i="2"/>
  <c r="AM50" i="2"/>
  <c r="DH50" i="2"/>
  <c r="L50" i="2"/>
  <c r="DW50" i="2"/>
  <c r="HX50" i="2"/>
  <c r="CV50" i="2"/>
  <c r="HU50" i="2"/>
  <c r="BU50" i="2"/>
  <c r="BA50" i="2"/>
  <c r="GE50" i="2"/>
  <c r="DI50" i="2"/>
  <c r="U50" i="2"/>
  <c r="V30" i="2"/>
  <c r="N30" i="2"/>
  <c r="FS30" i="2"/>
  <c r="ED30" i="2"/>
  <c r="GJ30" i="2"/>
  <c r="HI30" i="2"/>
  <c r="HS30" i="2"/>
  <c r="CV30" i="2"/>
  <c r="CE30" i="2"/>
  <c r="AE30" i="2"/>
  <c r="BN30" i="2"/>
  <c r="AV25" i="2"/>
  <c r="BS25" i="2"/>
  <c r="GB25" i="2"/>
  <c r="CG25" i="2"/>
  <c r="EB25" i="2"/>
  <c r="FO48" i="2"/>
  <c r="GC8" i="2"/>
  <c r="BB48" i="2"/>
  <c r="GX25" i="2"/>
  <c r="CE48" i="2"/>
  <c r="GW48" i="2"/>
  <c r="FG45" i="2"/>
  <c r="FR49" i="2"/>
  <c r="HW49" i="2"/>
  <c r="EK49" i="2"/>
  <c r="HC49" i="2"/>
  <c r="CX49" i="2"/>
  <c r="GA10" i="2"/>
  <c r="EC10" i="2"/>
  <c r="BV10" i="2"/>
  <c r="EY10" i="2"/>
  <c r="HF10" i="2"/>
  <c r="EZ10" i="2"/>
  <c r="CY10" i="2"/>
  <c r="BA10" i="2"/>
  <c r="EW10" i="2"/>
  <c r="HO10" i="2"/>
  <c r="U10" i="2"/>
  <c r="GI10" i="2"/>
  <c r="EW54" i="2"/>
  <c r="AR54" i="2"/>
  <c r="CX54" i="2"/>
  <c r="AS54" i="2"/>
  <c r="CR10" i="2"/>
  <c r="EA10" i="2"/>
  <c r="DJ10" i="2"/>
  <c r="FQ10" i="2"/>
  <c r="DG54" i="2"/>
  <c r="GS54" i="2"/>
  <c r="HX54" i="2"/>
  <c r="CW54" i="2"/>
  <c r="BD9" i="2"/>
  <c r="EA9" i="2"/>
  <c r="GV9" i="2"/>
  <c r="DN28" i="2"/>
  <c r="IA28" i="2"/>
  <c r="AF28" i="2"/>
  <c r="V54" i="2"/>
  <c r="DD54" i="2"/>
  <c r="GN54" i="2"/>
  <c r="AG28" i="2"/>
  <c r="L28" i="2"/>
  <c r="HW54" i="2"/>
  <c r="M54" i="2"/>
  <c r="EX54" i="2"/>
  <c r="HQ54" i="2"/>
  <c r="FR26" i="2"/>
  <c r="GP26" i="2"/>
  <c r="HN26" i="2"/>
  <c r="EV26" i="2"/>
  <c r="GG26" i="2"/>
  <c r="BA26" i="2"/>
  <c r="FH26" i="2"/>
  <c r="AZ26" i="2"/>
  <c r="EY26" i="2"/>
  <c r="BG26" i="2"/>
  <c r="FF26" i="2"/>
  <c r="BV26" i="2"/>
  <c r="FM26" i="2"/>
  <c r="BE26" i="2"/>
  <c r="FC26" i="2"/>
  <c r="AU26" i="2"/>
  <c r="FT26" i="2"/>
  <c r="EF26" i="2"/>
  <c r="DX26" i="2"/>
  <c r="HH26" i="2"/>
  <c r="FQ26" i="2"/>
  <c r="AS26" i="2"/>
  <c r="EJ26" i="2"/>
  <c r="AB26" i="2"/>
  <c r="EI26" i="2"/>
  <c r="AQ26" i="2"/>
  <c r="EX26" i="2"/>
  <c r="AX26" i="2"/>
  <c r="FE26" i="2"/>
  <c r="AW26" i="2"/>
  <c r="EU26" i="2"/>
  <c r="W26" i="2"/>
  <c r="CB26" i="2"/>
  <c r="BT26" i="2"/>
  <c r="GB26" i="2"/>
  <c r="FI26" i="2"/>
  <c r="AI26" i="2"/>
  <c r="BH26" i="2"/>
  <c r="GL26" i="2"/>
  <c r="BU26" i="2"/>
  <c r="GZ26" i="2"/>
  <c r="BJ26" i="2"/>
  <c r="T26" i="2"/>
  <c r="EP26" i="2"/>
  <c r="Q26" i="2"/>
  <c r="AV26" i="2"/>
  <c r="DP26" i="2"/>
  <c r="BI26" i="2"/>
  <c r="FW26" i="2"/>
  <c r="FK26" i="2"/>
  <c r="HX26" i="2"/>
  <c r="AC26" i="2"/>
  <c r="EA26" i="2"/>
  <c r="CD26" i="2"/>
  <c r="EE26" i="2"/>
  <c r="AN26" i="2"/>
  <c r="FX26" i="2"/>
  <c r="AP26" i="2"/>
  <c r="GJ26" i="2"/>
  <c r="EB26" i="2"/>
  <c r="GK26" i="2"/>
  <c r="BK26" i="2"/>
  <c r="O26" i="2"/>
  <c r="EO26" i="2"/>
  <c r="BO26" i="2"/>
  <c r="HE26" i="2"/>
  <c r="DJ26" i="2"/>
  <c r="GV26" i="2"/>
  <c r="AL26" i="2"/>
  <c r="CC26" i="2"/>
  <c r="HZ6" i="2"/>
  <c r="AY6" i="2"/>
  <c r="FI6" i="2"/>
  <c r="AZ31" i="2"/>
  <c r="CG31" i="2"/>
  <c r="HG31" i="2"/>
  <c r="HB31" i="2"/>
  <c r="DE31" i="2"/>
  <c r="FL31" i="2"/>
  <c r="EQ31" i="2"/>
  <c r="BR31" i="2"/>
  <c r="CR31" i="2"/>
  <c r="CC50" i="2"/>
  <c r="CI50" i="2"/>
  <c r="DM26" i="2"/>
  <c r="BJ6" i="2"/>
  <c r="CW6" i="2"/>
  <c r="FH6" i="2"/>
  <c r="GL6" i="2"/>
  <c r="CM6" i="2"/>
  <c r="AO6" i="2"/>
  <c r="EV6" i="2"/>
  <c r="GQ6" i="2"/>
  <c r="HN6" i="2"/>
  <c r="CG6" i="2"/>
  <c r="EZ6" i="2"/>
  <c r="FN6" i="2"/>
  <c r="BE6" i="2"/>
  <c r="FU6" i="2"/>
  <c r="EA6" i="2"/>
  <c r="DX6" i="2"/>
  <c r="EU6" i="2"/>
  <c r="HF6" i="2"/>
  <c r="BY6" i="2"/>
  <c r="DD6" i="2"/>
  <c r="FF6" i="2"/>
  <c r="FJ6" i="2"/>
  <c r="HU6" i="2"/>
  <c r="AC6" i="2"/>
  <c r="CN6" i="2"/>
  <c r="DJ6" i="2"/>
  <c r="GU6" i="2"/>
  <c r="EI6" i="2"/>
  <c r="AI6" i="2"/>
  <c r="BD6" i="2"/>
  <c r="CA6" i="2"/>
  <c r="ED6" i="2"/>
  <c r="FQ6" i="2"/>
  <c r="AJ6" i="2"/>
  <c r="CL6" i="2"/>
  <c r="CE6" i="2"/>
  <c r="DA6" i="2"/>
  <c r="BO6" i="2"/>
  <c r="CP6" i="2"/>
  <c r="AP6" i="2"/>
  <c r="HP6" i="2"/>
  <c r="FA6" i="2"/>
  <c r="AV6" i="2"/>
  <c r="DI6" i="2"/>
  <c r="BK6" i="2"/>
  <c r="HT6" i="2"/>
  <c r="FO6" i="2"/>
  <c r="FM6" i="2"/>
  <c r="GY50" i="2"/>
  <c r="CP50" i="2"/>
  <c r="BC10" i="2"/>
  <c r="HT10" i="2"/>
  <c r="BG10" i="2"/>
  <c r="EN10" i="2"/>
  <c r="CH10" i="2"/>
  <c r="GX10" i="2"/>
  <c r="ER10" i="2"/>
  <c r="HQ10" i="2"/>
  <c r="CQ10" i="2"/>
  <c r="HJ10" i="2"/>
  <c r="Y54" i="2"/>
  <c r="FN54" i="2"/>
  <c r="FH54" i="2"/>
  <c r="DX54" i="2"/>
  <c r="BS10" i="2"/>
  <c r="IA10" i="2"/>
  <c r="L10" i="2"/>
  <c r="GV54" i="2"/>
  <c r="AN54" i="2"/>
  <c r="FK54" i="2"/>
  <c r="DJ54" i="2"/>
  <c r="CM54" i="2"/>
  <c r="HK9" i="2"/>
  <c r="HZ9" i="2"/>
  <c r="DV9" i="2"/>
  <c r="GB9" i="2"/>
  <c r="AX9" i="2"/>
  <c r="DE9" i="2"/>
  <c r="HE28" i="2"/>
  <c r="CU28" i="2"/>
  <c r="GK28" i="2"/>
  <c r="GM23" i="2"/>
  <c r="EH23" i="2"/>
  <c r="HW23" i="2"/>
  <c r="AU23" i="2"/>
  <c r="BX23" i="2"/>
  <c r="AB23" i="2"/>
  <c r="AX23" i="2"/>
  <c r="AH23" i="2"/>
  <c r="AF23" i="2"/>
  <c r="GI23" i="2"/>
  <c r="FR23" i="2"/>
  <c r="HN23" i="2"/>
  <c r="V23" i="2"/>
  <c r="HX23" i="2"/>
  <c r="CW23" i="2"/>
  <c r="BW23" i="2"/>
  <c r="HI23" i="2"/>
  <c r="FC23" i="2"/>
  <c r="EV23" i="2"/>
  <c r="DV23" i="2"/>
  <c r="DP23" i="2"/>
  <c r="GX23" i="2"/>
  <c r="BY23" i="2"/>
  <c r="AY23" i="2"/>
  <c r="GS23" i="2"/>
  <c r="DW23" i="2"/>
  <c r="BM23" i="2"/>
  <c r="CZ23" i="2"/>
  <c r="BT23" i="2"/>
  <c r="FX23" i="2"/>
  <c r="HL23" i="2"/>
  <c r="HB23" i="2"/>
  <c r="EG23" i="2"/>
  <c r="CA23" i="2"/>
  <c r="N23" i="2"/>
  <c r="GF23" i="2"/>
  <c r="FZ23" i="2"/>
  <c r="AP23" i="2"/>
  <c r="HS23" i="2"/>
  <c r="FF23" i="2"/>
  <c r="DY23" i="2"/>
  <c r="BC23" i="2"/>
  <c r="DX23" i="2"/>
  <c r="FJ23" i="2"/>
  <c r="DN23" i="2"/>
  <c r="Q23" i="2"/>
  <c r="FM23" i="2"/>
  <c r="DO23" i="2"/>
  <c r="Z23" i="2"/>
  <c r="AC23" i="2"/>
  <c r="HZ23" i="2"/>
  <c r="BF23" i="2"/>
  <c r="AW23" i="2"/>
  <c r="GR54" i="2"/>
  <c r="GH54" i="2"/>
  <c r="HW28" i="2"/>
  <c r="EN28" i="2"/>
  <c r="EJ28" i="2"/>
  <c r="CQ54" i="2"/>
  <c r="P54" i="2"/>
  <c r="BK54" i="2"/>
  <c r="DQ26" i="2"/>
  <c r="HJ26" i="2"/>
  <c r="BP26" i="2"/>
  <c r="CA26" i="2"/>
  <c r="GJ6" i="2"/>
  <c r="DB6" i="2"/>
  <c r="HV31" i="2"/>
  <c r="HC31" i="2"/>
  <c r="HU31" i="2"/>
  <c r="AC31" i="2"/>
  <c r="CS31" i="2"/>
  <c r="AT31" i="2"/>
  <c r="GU31" i="2"/>
  <c r="GK31" i="2"/>
  <c r="HF31" i="2"/>
  <c r="CB6" i="2"/>
  <c r="FI31" i="2"/>
  <c r="EC50" i="2"/>
  <c r="HN10" i="2"/>
  <c r="FM10" i="2"/>
  <c r="CB10" i="2"/>
  <c r="CF10" i="2"/>
  <c r="FD10" i="2"/>
  <c r="GA54" i="2"/>
  <c r="CF54" i="2"/>
  <c r="BZ54" i="2"/>
  <c r="CU54" i="2"/>
  <c r="EE10" i="2"/>
  <c r="AW10" i="2"/>
  <c r="BX10" i="2"/>
  <c r="DN54" i="2"/>
  <c r="FV54" i="2"/>
  <c r="AM54" i="2"/>
  <c r="HT54" i="2"/>
  <c r="GC54" i="2"/>
  <c r="CO54" i="2"/>
  <c r="BJ54" i="2"/>
  <c r="FC54" i="2"/>
  <c r="AV54" i="2"/>
  <c r="DW54" i="2"/>
  <c r="V26" i="2"/>
  <c r="GY6" i="2"/>
  <c r="FV6" i="2"/>
  <c r="AY31" i="2"/>
  <c r="K31" i="2"/>
  <c r="FS31" i="2"/>
  <c r="BT31" i="2"/>
  <c r="EX31" i="2"/>
  <c r="HN31" i="2"/>
  <c r="AD31" i="2"/>
  <c r="BQ31" i="2"/>
  <c r="BP31" i="2"/>
  <c r="EW31" i="2"/>
  <c r="AW31" i="2"/>
  <c r="AI31" i="2"/>
  <c r="HP31" i="2"/>
  <c r="FC31" i="2"/>
  <c r="CM31" i="2"/>
  <c r="BD31" i="2"/>
  <c r="BF31" i="2"/>
  <c r="HJ31" i="2"/>
  <c r="X31" i="2"/>
  <c r="ES31" i="2"/>
  <c r="GF31" i="2"/>
  <c r="HQ31" i="2"/>
  <c r="FG31" i="2"/>
  <c r="CB31" i="2"/>
  <c r="S31" i="2"/>
  <c r="GR31" i="2"/>
  <c r="EH31" i="2"/>
  <c r="CY31" i="2"/>
  <c r="HM31" i="2"/>
  <c r="HI31" i="2"/>
  <c r="GB31" i="2"/>
  <c r="EC31" i="2"/>
  <c r="EO31" i="2"/>
  <c r="GZ31" i="2"/>
  <c r="AN31" i="2"/>
  <c r="BL31" i="2"/>
  <c r="BV31" i="2"/>
  <c r="FR31" i="2"/>
  <c r="BI31" i="2"/>
  <c r="CC31" i="2"/>
  <c r="EM31" i="2"/>
  <c r="EJ31" i="2"/>
  <c r="HS31" i="2"/>
  <c r="HK31" i="2"/>
  <c r="GA31" i="2"/>
  <c r="W31" i="2"/>
  <c r="BW31" i="2"/>
  <c r="CX31" i="2"/>
  <c r="BH31" i="2"/>
  <c r="AM31" i="2"/>
  <c r="DW6" i="2"/>
  <c r="GN31" i="2"/>
  <c r="GT31" i="2"/>
  <c r="FH10" i="2"/>
  <c r="V10" i="2"/>
  <c r="EL10" i="2"/>
  <c r="CL10" i="2"/>
  <c r="FB10" i="2"/>
  <c r="P10" i="2"/>
  <c r="BZ10" i="2"/>
  <c r="AA10" i="2"/>
  <c r="Y10" i="2"/>
  <c r="DO54" i="2"/>
  <c r="FQ54" i="2"/>
  <c r="GQ10" i="2"/>
  <c r="FE10" i="2"/>
  <c r="EO54" i="2"/>
  <c r="AH54" i="2"/>
  <c r="CN54" i="2"/>
  <c r="FF54" i="2"/>
  <c r="DR54" i="2"/>
  <c r="FB9" i="2"/>
  <c r="BZ9" i="2"/>
  <c r="HM9" i="2"/>
  <c r="EK9" i="2"/>
  <c r="BI9" i="2"/>
  <c r="HD9" i="2"/>
  <c r="DL9" i="2"/>
  <c r="GD9" i="2"/>
  <c r="CL9" i="2"/>
  <c r="HY9" i="2"/>
  <c r="FG9" i="2"/>
  <c r="AQ9" i="2"/>
  <c r="BE9" i="2"/>
  <c r="FU9" i="2"/>
  <c r="GZ9" i="2"/>
  <c r="DH9" i="2"/>
  <c r="FS9" i="2"/>
  <c r="CA9" i="2"/>
  <c r="HV9" i="2"/>
  <c r="ET9" i="2"/>
  <c r="BB9" i="2"/>
  <c r="HE9" i="2"/>
  <c r="EC9" i="2"/>
  <c r="BA9" i="2"/>
  <c r="GF9" i="2"/>
  <c r="DD9" i="2"/>
  <c r="FF9" i="2"/>
  <c r="CD9" i="2"/>
  <c r="GS9" i="2"/>
  <c r="BO9" i="2"/>
  <c r="HQ9" i="2"/>
  <c r="EO9" i="2"/>
  <c r="GU9" i="2"/>
  <c r="IA9" i="2"/>
  <c r="FT9" i="2"/>
  <c r="CR9" i="2"/>
  <c r="P9" i="2"/>
  <c r="EM9" i="2"/>
  <c r="BK9" i="2"/>
  <c r="HF9" i="2"/>
  <c r="DN9" i="2"/>
  <c r="GO9" i="2"/>
  <c r="DM9" i="2"/>
  <c r="FP9" i="2"/>
  <c r="CN9" i="2"/>
  <c r="HR9" i="2"/>
  <c r="EP9" i="2"/>
  <c r="BN9" i="2"/>
  <c r="BU9" i="2"/>
  <c r="GC9" i="2"/>
  <c r="FE9" i="2"/>
  <c r="GE9" i="2"/>
  <c r="HC9" i="2"/>
  <c r="FL9" i="2"/>
  <c r="CJ9" i="2"/>
  <c r="HW9" i="2"/>
  <c r="EE9" i="2"/>
  <c r="BC9" i="2"/>
  <c r="GX9" i="2"/>
  <c r="DF9" i="2"/>
  <c r="GG9" i="2"/>
  <c r="CO9" i="2"/>
  <c r="U9" i="2"/>
  <c r="FH9" i="2"/>
  <c r="CF9" i="2"/>
  <c r="HJ9" i="2"/>
  <c r="EH9" i="2"/>
  <c r="BF9" i="2"/>
  <c r="CK9" i="2"/>
  <c r="DY9" i="2"/>
  <c r="EY9" i="2"/>
  <c r="FW9" i="2"/>
  <c r="HX9" i="2"/>
  <c r="EV9" i="2"/>
  <c r="BT9" i="2"/>
  <c r="GQ9" i="2"/>
  <c r="DO9" i="2"/>
  <c r="FR9" i="2"/>
  <c r="CP9" i="2"/>
  <c r="N9" i="2"/>
  <c r="FA9" i="2"/>
  <c r="BY9" i="2"/>
  <c r="HT9" i="2"/>
  <c r="ER9" i="2"/>
  <c r="AZ9" i="2"/>
  <c r="GT9" i="2"/>
  <c r="DR9" i="2"/>
  <c r="HS9" i="2"/>
  <c r="HA9" i="2"/>
  <c r="HI9" i="2"/>
  <c r="CM9" i="2"/>
  <c r="DK9" i="2"/>
  <c r="HP9" i="2"/>
  <c r="EN9" i="2"/>
  <c r="AV9" i="2"/>
  <c r="GI9" i="2"/>
  <c r="DG9" i="2"/>
  <c r="O9" i="2"/>
  <c r="FJ9" i="2"/>
  <c r="CH9" i="2"/>
  <c r="ES9" i="2"/>
  <c r="BQ9" i="2"/>
  <c r="HL9" i="2"/>
  <c r="DT9" i="2"/>
  <c r="AR9" i="2"/>
  <c r="GL9" i="2"/>
  <c r="CT9" i="2"/>
  <c r="R9" i="2"/>
  <c r="GM9" i="2"/>
  <c r="FO9" i="2"/>
  <c r="DQ9" i="2"/>
  <c r="BG9" i="2"/>
  <c r="S9" i="2"/>
  <c r="V9" i="2"/>
  <c r="M9" i="2"/>
  <c r="HB9" i="2"/>
  <c r="DC9" i="2"/>
  <c r="K9" i="2"/>
  <c r="HN9" i="2"/>
  <c r="FX9" i="2"/>
  <c r="EX9" i="2"/>
  <c r="EQ9" i="2"/>
  <c r="GY9" i="2"/>
  <c r="FZ9" i="2"/>
  <c r="GW9" i="2"/>
  <c r="EZ9" i="2"/>
  <c r="DZ9" i="2"/>
  <c r="BW9" i="2"/>
  <c r="FK9" i="2"/>
  <c r="EL9" i="2"/>
  <c r="FY9" i="2"/>
  <c r="CV9" i="2"/>
  <c r="BV9" i="2"/>
  <c r="GK9" i="2"/>
  <c r="GR9" i="2"/>
  <c r="DW9" i="2"/>
  <c r="CX9" i="2"/>
  <c r="DU9" i="2"/>
  <c r="BH9" i="2"/>
  <c r="CZ9" i="2"/>
  <c r="AU9" i="2"/>
  <c r="FM9" i="2"/>
  <c r="DS9" i="2"/>
  <c r="CB9" i="2"/>
  <c r="T9" i="2"/>
  <c r="CC9" i="2"/>
  <c r="AT9" i="2"/>
  <c r="FD9" i="2"/>
  <c r="CG9" i="2"/>
  <c r="BS9" i="2"/>
  <c r="BY28" i="2"/>
  <c r="EO28" i="2"/>
  <c r="BE54" i="2"/>
  <c r="FM54" i="2"/>
  <c r="FW54" i="2"/>
  <c r="CA28" i="2"/>
  <c r="R28" i="2"/>
  <c r="AS28" i="2"/>
  <c r="HO54" i="2"/>
  <c r="CB54" i="2"/>
  <c r="ES23" i="2"/>
  <c r="ET26" i="2"/>
  <c r="GY26" i="2"/>
  <c r="BW26" i="2"/>
  <c r="N26" i="2"/>
  <c r="BC6" i="2"/>
  <c r="CU6" i="2"/>
  <c r="CO31" i="2"/>
  <c r="EE6" i="2"/>
  <c r="DH31" i="2"/>
  <c r="FJ31" i="2"/>
  <c r="CA31" i="2"/>
  <c r="L31" i="2"/>
  <c r="AP31" i="2"/>
  <c r="AV31" i="2"/>
  <c r="DD31" i="2"/>
  <c r="ET6" i="2"/>
  <c r="AR31" i="2"/>
  <c r="FZ31" i="2"/>
  <c r="BQ50" i="2"/>
  <c r="FF50" i="2"/>
  <c r="CJ50" i="2"/>
  <c r="FP50" i="2"/>
  <c r="HJ50" i="2"/>
  <c r="DL50" i="2"/>
  <c r="N50" i="2"/>
  <c r="HD50" i="2"/>
  <c r="FS50" i="2"/>
  <c r="CK50" i="2"/>
  <c r="R50" i="2"/>
  <c r="FD50" i="2"/>
  <c r="AA50" i="2"/>
  <c r="DT50" i="2"/>
  <c r="CM50" i="2"/>
  <c r="Q50" i="2"/>
  <c r="DZ50" i="2"/>
  <c r="FL50" i="2"/>
  <c r="AN50" i="2"/>
  <c r="HB50" i="2"/>
  <c r="EU50" i="2"/>
  <c r="FC50" i="2"/>
  <c r="EK50" i="2"/>
  <c r="AZ50" i="2"/>
  <c r="S50" i="2"/>
  <c r="HH50" i="2"/>
  <c r="DP50" i="2"/>
  <c r="DP10" i="2"/>
  <c r="GY10" i="2"/>
  <c r="W10" i="2"/>
  <c r="DV10" i="2"/>
  <c r="EK10" i="2"/>
  <c r="M10" i="2"/>
  <c r="DD10" i="2"/>
  <c r="HB10" i="2"/>
  <c r="CD10" i="2"/>
  <c r="HK10" i="2"/>
  <c r="FU10" i="2"/>
  <c r="DC10" i="2"/>
  <c r="DY10" i="2"/>
  <c r="DN10" i="2"/>
  <c r="HU10" i="2"/>
  <c r="CW10" i="2"/>
  <c r="GN10" i="2"/>
  <c r="BP10" i="2"/>
  <c r="FN10" i="2"/>
  <c r="DK10" i="2"/>
  <c r="Q10" i="2"/>
  <c r="EG10" i="2"/>
  <c r="DF10" i="2"/>
  <c r="HM10" i="2"/>
  <c r="CO10" i="2"/>
  <c r="GF10" i="2"/>
  <c r="BH10" i="2"/>
  <c r="FF10" i="2"/>
  <c r="CE10" i="2"/>
  <c r="HY10" i="2"/>
  <c r="DA10" i="2"/>
  <c r="BD10" i="2"/>
  <c r="EM10" i="2"/>
  <c r="HV10" i="2"/>
  <c r="CX10" i="2"/>
  <c r="HE10" i="2"/>
  <c r="CG10" i="2"/>
  <c r="FX10" i="2"/>
  <c r="AZ10" i="2"/>
  <c r="EX10" i="2"/>
  <c r="Z10" i="2"/>
  <c r="AY10" i="2"/>
  <c r="BU10" i="2"/>
  <c r="GE10" i="2"/>
  <c r="HP10" i="2"/>
  <c r="AV10" i="2"/>
  <c r="DW10" i="2"/>
  <c r="GH10" i="2"/>
  <c r="BJ10" i="2"/>
  <c r="GW10" i="2"/>
  <c r="BY10" i="2"/>
  <c r="FP10" i="2"/>
  <c r="EP10" i="2"/>
  <c r="R10" i="2"/>
  <c r="S10" i="2"/>
  <c r="GK10" i="2"/>
  <c r="CM10" i="2"/>
  <c r="GB10" i="2"/>
  <c r="CI10" i="2"/>
  <c r="FZ10" i="2"/>
  <c r="BB10" i="2"/>
  <c r="FI10" i="2"/>
  <c r="EB10" i="2"/>
  <c r="HZ10" i="2"/>
  <c r="DB10" i="2"/>
  <c r="CK10" i="2"/>
  <c r="BM10" i="2"/>
  <c r="GU10" i="2"/>
  <c r="CU10" i="2"/>
  <c r="FT10" i="2"/>
  <c r="FA10" i="2"/>
  <c r="BE10" i="2"/>
  <c r="CA10" i="2"/>
  <c r="DS10" i="2"/>
  <c r="DT10" i="2"/>
  <c r="FO10" i="2"/>
  <c r="AT10" i="2"/>
  <c r="HR10" i="2"/>
  <c r="CT10" i="2"/>
  <c r="FR10" i="2"/>
  <c r="BO10" i="2"/>
  <c r="CD54" i="2"/>
  <c r="DF54" i="2"/>
  <c r="BD54" i="2"/>
  <c r="FG54" i="2"/>
  <c r="BW54" i="2"/>
  <c r="BL54" i="2"/>
  <c r="BQ54" i="2"/>
  <c r="CJ54" i="2"/>
  <c r="DC54" i="2"/>
  <c r="GB54" i="2"/>
  <c r="AQ54" i="2"/>
  <c r="HU54" i="2"/>
  <c r="CT54" i="2"/>
  <c r="HP54" i="2"/>
  <c r="FX54" i="2"/>
  <c r="AZ54" i="2"/>
  <c r="FL54" i="2"/>
  <c r="BI54" i="2"/>
  <c r="EZ54" i="2"/>
  <c r="AX54" i="2"/>
  <c r="GD54" i="2"/>
  <c r="BF54" i="2"/>
  <c r="BG54" i="2"/>
  <c r="FI54" i="2"/>
  <c r="U54" i="2"/>
  <c r="EV54" i="2"/>
  <c r="ES54" i="2"/>
  <c r="DI54" i="2"/>
  <c r="CA54" i="2"/>
  <c r="FZ54" i="2"/>
  <c r="BX54" i="2"/>
  <c r="GU54" i="2"/>
  <c r="EH54" i="2"/>
  <c r="AD54" i="2"/>
  <c r="EQ54" i="2"/>
  <c r="S54" i="2"/>
  <c r="ED54" i="2"/>
  <c r="AB54" i="2"/>
  <c r="EL54" i="2"/>
  <c r="AJ54" i="2"/>
  <c r="BA54" i="2"/>
  <c r="FD54" i="2"/>
  <c r="CR54" i="2"/>
  <c r="DP54" i="2"/>
  <c r="HY54" i="2"/>
  <c r="DA54" i="2"/>
  <c r="GQ54" i="2"/>
  <c r="BS54" i="2"/>
  <c r="FP54" i="2"/>
  <c r="BN54" i="2"/>
  <c r="HZ54" i="2"/>
  <c r="DV54" i="2"/>
  <c r="T54" i="2"/>
  <c r="DK54" i="2"/>
  <c r="HV54" i="2"/>
  <c r="DT54" i="2"/>
  <c r="EB54" i="2"/>
  <c r="Z54" i="2"/>
  <c r="FO54" i="2"/>
  <c r="X54" i="2"/>
  <c r="EA54" i="2"/>
  <c r="BO54" i="2"/>
  <c r="FU54" i="2"/>
  <c r="ER54" i="2"/>
  <c r="FR54" i="2"/>
  <c r="DQ54" i="2"/>
  <c r="GL54" i="2"/>
  <c r="CP54" i="2"/>
  <c r="GP54" i="2"/>
  <c r="CV54" i="2"/>
  <c r="EI54" i="2"/>
  <c r="GE54" i="2"/>
  <c r="AW54" i="2"/>
  <c r="EJ54" i="2"/>
  <c r="AP54" i="2"/>
  <c r="EP54" i="2"/>
  <c r="AT54" i="2"/>
  <c r="EC54" i="2"/>
  <c r="CH54" i="2"/>
  <c r="GG54" i="2"/>
  <c r="BR54" i="2"/>
  <c r="GM54" i="2"/>
  <c r="L54" i="2"/>
  <c r="FA54" i="2"/>
  <c r="AL54" i="2"/>
  <c r="DM54" i="2"/>
  <c r="HS54" i="2"/>
  <c r="CI54" i="2"/>
  <c r="AC54" i="2"/>
  <c r="EY54" i="2"/>
  <c r="W54" i="2"/>
  <c r="GT54" i="2"/>
  <c r="AA54" i="2"/>
  <c r="AI54" i="2"/>
  <c r="EM54" i="2"/>
  <c r="AF54" i="2"/>
  <c r="CE54" i="2"/>
  <c r="DS54" i="2"/>
  <c r="GL10" i="2"/>
  <c r="GR10" i="2"/>
  <c r="CC10" i="2"/>
  <c r="CV10" i="2"/>
  <c r="EO10" i="2"/>
  <c r="GG10" i="2"/>
  <c r="DZ10" i="2"/>
  <c r="GM10" i="2"/>
  <c r="EF10" i="2"/>
  <c r="T10" i="2"/>
  <c r="GP10" i="2"/>
  <c r="HG10" i="2"/>
  <c r="EV10" i="2"/>
  <c r="CP10" i="2"/>
  <c r="CS10" i="2"/>
  <c r="FS10" i="2"/>
  <c r="DU10" i="2"/>
  <c r="BN10" i="2"/>
  <c r="BT10" i="2"/>
  <c r="N10" i="2"/>
  <c r="GD10" i="2"/>
  <c r="K10" i="2"/>
  <c r="GJ10" i="2"/>
  <c r="ED10" i="2"/>
  <c r="BK10" i="2"/>
  <c r="HA10" i="2"/>
  <c r="HH10" i="2"/>
  <c r="BC54" i="2"/>
  <c r="EF54" i="2"/>
  <c r="EK54" i="2"/>
  <c r="FC28" i="2"/>
  <c r="CZ10" i="2"/>
  <c r="EQ10" i="2"/>
  <c r="GV10" i="2"/>
  <c r="CC54" i="2"/>
  <c r="FY54" i="2"/>
  <c r="U23" i="2"/>
  <c r="HO23" i="2"/>
  <c r="BH23" i="2"/>
  <c r="HU23" i="2"/>
  <c r="EP23" i="2"/>
  <c r="FB23" i="2"/>
  <c r="HP23" i="2"/>
  <c r="DR23" i="2"/>
  <c r="EC23" i="2"/>
  <c r="BB54" i="2"/>
  <c r="N54" i="2"/>
  <c r="CU9" i="2"/>
  <c r="GN9" i="2"/>
  <c r="CI9" i="2"/>
  <c r="EI9" i="2"/>
  <c r="L9" i="2"/>
  <c r="GA28" i="2"/>
  <c r="HT28" i="2"/>
  <c r="GC28" i="2"/>
  <c r="EY23" i="2"/>
  <c r="EU54" i="2"/>
  <c r="AO54" i="2"/>
  <c r="BT54" i="2"/>
  <c r="FN28" i="2"/>
  <c r="GJ28" i="2"/>
  <c r="FQ28" i="2"/>
  <c r="BM54" i="2"/>
  <c r="DH54" i="2"/>
  <c r="AG54" i="2"/>
  <c r="HS26" i="2"/>
  <c r="BD26" i="2"/>
  <c r="GI26" i="2"/>
  <c r="L26" i="2"/>
  <c r="DV26" i="2"/>
  <c r="HG26" i="2"/>
  <c r="DS26" i="2"/>
  <c r="DU26" i="2"/>
  <c r="HD26" i="2"/>
  <c r="EL26" i="2"/>
  <c r="CI26" i="2"/>
  <c r="GT26" i="2"/>
  <c r="HP26" i="2"/>
  <c r="BR6" i="2"/>
  <c r="BU31" i="2"/>
  <c r="AQ6" i="2"/>
  <c r="CV6" i="2"/>
  <c r="GS31" i="2"/>
  <c r="FB31" i="2"/>
  <c r="AU31" i="2"/>
  <c r="AA31" i="2"/>
  <c r="HO31" i="2"/>
  <c r="CN31" i="2"/>
  <c r="CL31" i="2"/>
  <c r="GJ31" i="2"/>
  <c r="FX31" i="2"/>
  <c r="HM6" i="2"/>
  <c r="DP6" i="2"/>
  <c r="BT50" i="2"/>
  <c r="K54" i="2"/>
  <c r="CJ10" i="2"/>
  <c r="GT10" i="2"/>
  <c r="BW10" i="2"/>
  <c r="DG10" i="2"/>
  <c r="BI10" i="2"/>
  <c r="GC10" i="2"/>
  <c r="HW10" i="2"/>
  <c r="FY10" i="2"/>
  <c r="DR10" i="2"/>
  <c r="FG10" i="2"/>
  <c r="DX10" i="2"/>
  <c r="BR10" i="2"/>
  <c r="FJ10" i="2"/>
  <c r="EI10" i="2"/>
  <c r="AY54" i="2"/>
  <c r="DE54" i="2"/>
  <c r="FL10" i="2"/>
  <c r="DQ10" i="2"/>
  <c r="Q54" i="2"/>
  <c r="FB54" i="2"/>
  <c r="CG54" i="2"/>
  <c r="AE54" i="2"/>
  <c r="EE54" i="2"/>
  <c r="FJ54" i="2"/>
  <c r="FS28" i="2"/>
  <c r="W28" i="2"/>
  <c r="FZ28" i="2"/>
  <c r="AL28" i="2"/>
  <c r="GW28" i="2"/>
  <c r="EC28" i="2"/>
  <c r="BQ28" i="2"/>
  <c r="HL28" i="2"/>
  <c r="ER28" i="2"/>
  <c r="BP28" i="2"/>
  <c r="HS28" i="2"/>
  <c r="EY28" i="2"/>
  <c r="CM28" i="2"/>
  <c r="S28" i="2"/>
  <c r="CD28" i="2"/>
  <c r="FJ28" i="2"/>
  <c r="CP28" i="2"/>
  <c r="V28" i="2"/>
  <c r="GG28" i="2"/>
  <c r="BA28" i="2"/>
  <c r="GN28" i="2"/>
  <c r="DT28" i="2"/>
  <c r="AZ28" i="2"/>
  <c r="HC28" i="2"/>
  <c r="EI28" i="2"/>
  <c r="BW28" i="2"/>
  <c r="HY28" i="2"/>
  <c r="AO28" i="2"/>
  <c r="BF28" i="2"/>
  <c r="CT28" i="2"/>
  <c r="EH28" i="2"/>
  <c r="FD28" i="2"/>
  <c r="FT28" i="2"/>
  <c r="HH28" i="2"/>
  <c r="FU28" i="2"/>
  <c r="HJ28" i="2"/>
  <c r="HG28" i="2"/>
  <c r="DO28" i="2"/>
  <c r="O28" i="2"/>
  <c r="ET28" i="2"/>
  <c r="BB28" i="2"/>
  <c r="FI28" i="2"/>
  <c r="CG28" i="2"/>
  <c r="FX28" i="2"/>
  <c r="BH28" i="2"/>
  <c r="GE28" i="2"/>
  <c r="BO28" i="2"/>
  <c r="DX28" i="2"/>
  <c r="BE28" i="2"/>
  <c r="BD28" i="2"/>
  <c r="GL28" i="2"/>
  <c r="AP28" i="2"/>
  <c r="BT28" i="2"/>
  <c r="GY28" i="2"/>
  <c r="EL28" i="2"/>
  <c r="AD28" i="2"/>
  <c r="FA28" i="2"/>
  <c r="BI28" i="2"/>
  <c r="FP28" i="2"/>
  <c r="AR28" i="2"/>
  <c r="FO28" i="2"/>
  <c r="BG28" i="2"/>
  <c r="AN28" i="2"/>
  <c r="AH28" i="2"/>
  <c r="GS28" i="2"/>
  <c r="EW28" i="2"/>
  <c r="EV28" i="2"/>
  <c r="GQ28" i="2"/>
  <c r="HV28" i="2"/>
  <c r="DV28" i="2"/>
  <c r="N28" i="2"/>
  <c r="ES28" i="2"/>
  <c r="AK28" i="2"/>
  <c r="FH28" i="2"/>
  <c r="AJ28" i="2"/>
  <c r="EQ28" i="2"/>
  <c r="AQ28" i="2"/>
  <c r="BL28" i="2"/>
  <c r="Q28" i="2"/>
  <c r="P28" i="2"/>
  <c r="FV28" i="2"/>
  <c r="DZ28" i="2"/>
  <c r="Z28" i="2"/>
  <c r="BM28" i="2"/>
  <c r="GI28" i="2"/>
  <c r="CI28" i="2"/>
  <c r="HN28" i="2"/>
  <c r="DU28" i="2"/>
  <c r="AC28" i="2"/>
  <c r="EB28" i="2"/>
  <c r="AB28" i="2"/>
  <c r="EA28" i="2"/>
  <c r="AI28" i="2"/>
  <c r="HX28" i="2"/>
  <c r="HR28" i="2"/>
  <c r="GB28" i="2"/>
  <c r="EG28" i="2"/>
  <c r="EF28" i="2"/>
  <c r="FK28" i="2"/>
  <c r="BS28" i="2"/>
  <c r="HF28" i="2"/>
  <c r="HU28" i="2"/>
  <c r="U28" i="2"/>
  <c r="T28" i="2"/>
  <c r="DS28" i="2"/>
  <c r="K28" i="2"/>
  <c r="HA28" i="2"/>
  <c r="GZ28" i="2"/>
  <c r="FE28" i="2"/>
  <c r="CK28" i="2"/>
  <c r="X28" i="2"/>
  <c r="AW28" i="2"/>
  <c r="EE28" i="2"/>
  <c r="BC28" i="2"/>
  <c r="FR28" i="2"/>
  <c r="BZ28" i="2"/>
  <c r="GO28" i="2"/>
  <c r="HD28" i="2"/>
  <c r="GU28" i="2"/>
  <c r="FM28" i="2"/>
  <c r="FL28" i="2"/>
  <c r="DQ28" i="2"/>
  <c r="CS28" i="2"/>
  <c r="AX28" i="2"/>
  <c r="Y28" i="2"/>
  <c r="CJ28" i="2"/>
  <c r="DW28" i="2"/>
  <c r="AU28" i="2"/>
  <c r="FB28" i="2"/>
  <c r="BJ28" i="2"/>
  <c r="FY28" i="2"/>
  <c r="CO28" i="2"/>
  <c r="GF28" i="2"/>
  <c r="CN28" i="2"/>
  <c r="GM28" i="2"/>
  <c r="CE28" i="2"/>
  <c r="EP28" i="2"/>
  <c r="DR28" i="2"/>
  <c r="CB28" i="2"/>
  <c r="BV28" i="2"/>
  <c r="HI28" i="2"/>
  <c r="DY28" i="2"/>
  <c r="EX28" i="2"/>
  <c r="M28" i="2"/>
  <c r="AV28" i="2"/>
  <c r="GD28" i="2"/>
  <c r="EM28" i="2"/>
  <c r="CH28" i="2"/>
  <c r="FF28" i="2"/>
  <c r="CL28" i="2"/>
  <c r="HM28" i="2"/>
  <c r="HK28" i="2"/>
  <c r="DP28" i="2"/>
  <c r="BK28" i="2"/>
  <c r="CR28" i="2"/>
  <c r="GX28" i="2"/>
  <c r="HB28" i="2"/>
  <c r="DY54" i="2"/>
  <c r="EN54" i="2"/>
  <c r="CS54" i="2"/>
  <c r="DN26" i="2"/>
  <c r="CL26" i="2"/>
  <c r="BW6" i="2"/>
  <c r="FP6" i="2"/>
  <c r="BM31" i="2"/>
  <c r="HE31" i="2"/>
  <c r="EB31" i="2"/>
  <c r="HW31" i="2"/>
  <c r="EN31" i="2"/>
  <c r="FH31" i="2"/>
  <c r="P31" i="2"/>
  <c r="CT31" i="2"/>
  <c r="BA31" i="2"/>
  <c r="BX6" i="2"/>
  <c r="FW31" i="2"/>
  <c r="HC50" i="2"/>
</calcChain>
</file>

<file path=xl/sharedStrings.xml><?xml version="1.0" encoding="utf-8"?>
<sst xmlns="http://schemas.openxmlformats.org/spreadsheetml/2006/main" count="182" uniqueCount="71">
  <si>
    <t>RAIJIN — Simulação de agendamento de waves</t>
  </si>
  <si>
    <t>Modelo visual para as primeiras 50 waves — Bulk / Deep Archive</t>
  </si>
  <si>
    <t>Parâmetro</t>
  </si>
  <si>
    <t>Valor</t>
  </si>
  <si>
    <t>Unidade</t>
  </si>
  <si>
    <t>Descrição</t>
  </si>
  <si>
    <t>Quantidade de waves</t>
  </si>
  <si>
    <t>waves</t>
  </si>
  <si>
    <t>Quantidade exibida no cronograma.</t>
  </si>
  <si>
    <t>Tamanho alvo da wave</t>
  </si>
  <si>
    <t>TB</t>
  </si>
  <si>
    <t>Tamanho inicial de cada wave; em produção pode ser dinâmico.</t>
  </si>
  <si>
    <t>Vazão efetiva estimada</t>
  </si>
  <si>
    <t>Mbps</t>
  </si>
  <si>
    <t>Vazão agregada sustentável para todos os workers.</t>
  </si>
  <si>
    <t>Duração estimada da transferência</t>
  </si>
  <si>
    <t>horas</t>
  </si>
  <si>
    <t>6 TB × 8.000.000 Mb/TB ÷ Mbps ÷ 3.600.</t>
  </si>
  <si>
    <t>Restore Bulk planejado</t>
  </si>
  <si>
    <t>Prazo máximo de planejamento para Deep Archive BULK.</t>
  </si>
  <si>
    <t>Margem operacional</t>
  </si>
  <si>
    <t>Folga para polling, variação e retomada.</t>
  </si>
  <si>
    <t>Lead time</t>
  </si>
  <si>
    <t>Antecedência entre solicitação e slot de transferência.</t>
  </si>
  <si>
    <t>Retenção configurada</t>
  </si>
  <si>
    <t>dias</t>
  </si>
  <si>
    <t>Cópia temporária restaurada disponível no S3.</t>
  </si>
  <si>
    <t>Retenção equivalente</t>
  </si>
  <si>
    <t>Convertida para comparar com o lead time.</t>
  </si>
  <si>
    <t>Janela econômica</t>
  </si>
  <si>
    <t>Janela disponível para solicitar o restore com segurança.</t>
  </si>
  <si>
    <t>Bloco visual da linha do tempo</t>
  </si>
  <si>
    <t>Cada célula do Gantt representa este intervalo.</t>
  </si>
  <si>
    <t>Como ler o cronograma</t>
  </si>
  <si>
    <t>A wave 001 é solicitada no início do projeto. As waves seguintes são solicitadas a cada duração estimada de transferência. Cada slot de transferência começa após o lead time; isso estabiliza o fluxo e evita que uma disponibilidade antecipada provoque lacuna na wave seguinte. A planilha representa uma programação conservadora: 48h de restore + 6h de margem.</t>
  </si>
  <si>
    <t>Cronograma visual — primeiras 50 waves</t>
  </si>
  <si>
    <t>Restore é solicitado no último momento seguro; a transferência é serializada em uma única wave, usando todos os workers.</t>
  </si>
  <si>
    <t>Linha do tempo (T+ horas)</t>
  </si>
  <si>
    <t>Wave</t>
  </si>
  <si>
    <t>Restore solicitado
(hora T+)</t>
  </si>
  <si>
    <t>Disponível previsto
(hora T+)</t>
  </si>
  <si>
    <t>Transferência inicia
(hora T+)</t>
  </si>
  <si>
    <t>Transferência termina
(hora T+)</t>
  </si>
  <si>
    <t>Espera máxima
se disponível cedo</t>
  </si>
  <si>
    <t>Retenção</t>
  </si>
  <si>
    <t>Situação</t>
  </si>
  <si>
    <t>Observação</t>
  </si>
  <si>
    <t>PLANEJADA</t>
  </si>
  <si>
    <t>Slot serial; criação imutável.</t>
  </si>
  <si>
    <t>Resumo do cenário</t>
  </si>
  <si>
    <t>Volume das 50 waves</t>
  </si>
  <si>
    <t>Primeira transferência inicia</t>
  </si>
  <si>
    <t>hora T+</t>
  </si>
  <si>
    <t>Última transferência termina</t>
  </si>
  <si>
    <t>Duração total do plano</t>
  </si>
  <si>
    <t>Dias corridos aproximados</t>
  </si>
  <si>
    <t>Máximo de waves no horizonte</t>
  </si>
  <si>
    <t>Legenda e regras operacionais</t>
  </si>
  <si>
    <t>R — Restore em andamento</t>
  </si>
  <si>
    <t>A solicitação foi enviada ao S3 Batch Operations; o objeto ainda pode estar indisponível.</t>
  </si>
  <si>
    <t>P — Pronta / margem</t>
  </si>
  <si>
    <t>Disponibilidade planejada após até 48h. Representa a margem até o slot de cópia; não significa que todos os objetos necessariamente já estejam prontos.</t>
  </si>
  <si>
    <t>T — Transferência</t>
  </si>
  <si>
    <t>A única wave em cópia; todos os workers configurados podem atuar nela.</t>
  </si>
  <si>
    <t>48h de restore BULK planejado + 6h de margem. É a antecedência mínima adotada para reservar o slot de transferência.</t>
  </si>
  <si>
    <t>Período em que a cópia temporária restaurada permanece acessível no S3. Nesta simulação: 3 dias / 72h.</t>
  </si>
  <si>
    <t>Agendamento dinâmico</t>
  </si>
  <si>
    <t>Em produção, o tamanho das próximas waves é recalculado com vazão, quantidade de objetos, overhead por arquivo e histórico real. Waves já criadas não mudam.</t>
  </si>
  <si>
    <t>Limitações intencionais desta visualização</t>
  </si>
  <si>
    <t>A planilha representa um plano determinístico de referência. Na execução real, o Raijin registra a disponibilidade efetiva e a expiração de cada restore, recalcula as previsões com estatísticas conservadoras e alerta caso uma wave futura esteja em risco de criar lacuna. O Gantt usa blocos de 3 horas, portanto valores parciais são arredondados visualmente.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</si>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</sst>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8FAFC"/>
      <name val="Calibri"/>
    </font>
    <font>
      <i/>
      <sz val="11"/>
      <color rgb="FFCBD5E1"/>
      <name val="Calibri"/>
    </font>
    <font>
      <b/>
      <sz val="11"/>
      <color rgb="FFF8FAFC"/>
      <name val="Calibri"/>
    </font>
    <font>
      <sz val="11"/>
      <color rgb="FFF8FAFC"/>
      <name val="Calibri"/>
    </font>
    <font>
      <b/>
      <sz val="11"/>
      <color rgb="FF1F2937"/>
      <name val="Calibri"/>
    </font>
    <font>
      <b/>
      <sz val="8"/>
      <color rgb="FFCBD5E1"/>
      <name val="Calibri"/>
    </font>
    <font>
      <b/>
      <sz val="8"/>
      <color rgb="FFF8FAFC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4B8A6"/>
      </patternFill>
    </fill>
    <fill>
      <patternFill patternType="solid">
        <fgColor rgb="FF2563EB"/>
      </patternFill>
    </fill>
    <fill>
      <patternFill patternType="solid">
        <fgColor rgb="FF1B2D4E"/>
      </patternFill>
    </fill>
    <fill>
      <patternFill patternType="solid">
        <fgColor rgb="FFFEF3C7"/>
      </patternFill>
    </fill>
    <fill>
      <patternFill patternType="solid">
        <fgColor rgb="FFF97316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10213A"/>
      </patternFill>
    </fill>
  </fills>
  <borders count="5">
    <border>
      <left/>
      <right/>
      <top/>
      <bottom/>
      <diagonal/>
    </border>
    <border>
      <left style="thin">
        <color rgb="FF59739D"/>
      </left>
      <right style="thin">
        <color rgb="FF59739D"/>
      </right>
      <top style="thin">
        <color rgb="FF59739D"/>
      </top>
      <bottom style="thin">
        <color rgb="FF59739D"/>
      </bottom>
      <diagonal/>
    </border>
    <border>
      <left/>
      <right/>
      <top/>
      <bottom style="hair">
        <color rgb="FF36557F"/>
      </bottom>
      <diagonal/>
    </border>
    <border>
      <left/>
      <right/>
      <top style="thin">
        <color rgb="FF59739D"/>
      </top>
      <bottom style="thin">
        <color rgb="FF59739D"/>
      </bottom>
      <diagonal/>
    </border>
    <border>
      <left/>
      <right style="thin">
        <color rgb="FF59739D"/>
      </right>
      <top style="thin">
        <color rgb="FF59739D"/>
      </top>
      <bottom style="thin">
        <color rgb="FF59739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16A34A"/>
        </patternFill>
      </fill>
    </dxf>
    <dxf>
      <fill>
        <patternFill patternType="solid">
          <fgColor rgb="FFD97706"/>
        </patternFill>
      </fill>
    </dxf>
    <dxf>
      <fill>
        <patternFill patternType="solid">
          <fgColor rgb="FFF9731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4"/>
  <sheetViews>
    <sheetView showGridLines="0" workbookViewId="0"/>
  </sheetViews>
  <sheetFormatPr defaultRowHeight="14.4" x14ac:dyDescent="0.3"/>
  <cols>
    <col min="1" max="1" width="32" customWidth="1"/>
    <col min="2" max="2" width="18" customWidth="1"/>
    <col min="3" max="3" width="16" customWidth="1"/>
    <col min="4" max="4" width="76" customWidth="1"/>
  </cols>
  <sheetData>
    <row r="1" spans="1:4" ht="23.4" x14ac:dyDescent="0.3">
      <c r="A1" s="20" t="s">
        <v>0</v>
      </c>
      <c r="B1" s="19"/>
      <c r="C1" s="19"/>
      <c r="D1" s="19"/>
    </row>
    <row r="2" spans="1:4" x14ac:dyDescent="0.3">
      <c r="A2" s="22" t="s">
        <v>1</v>
      </c>
      <c r="B2" s="19"/>
      <c r="C2" s="19"/>
      <c r="D2" s="19"/>
    </row>
    <row r="4" spans="1:4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34.049999999999997" customHeight="1" x14ac:dyDescent="0.3">
      <c r="A5" s="2" t="s">
        <v>6</v>
      </c>
      <c r="B5" s="3">
        <v>50</v>
      </c>
      <c r="C5" s="2" t="s">
        <v>7</v>
      </c>
      <c r="D5" s="2" t="s">
        <v>8</v>
      </c>
    </row>
    <row r="6" spans="1:4" ht="34.049999999999997" customHeight="1" x14ac:dyDescent="0.3">
      <c r="A6" s="2" t="s">
        <v>9</v>
      </c>
      <c r="B6" s="3">
        <v>6</v>
      </c>
      <c r="C6" s="2" t="s">
        <v>10</v>
      </c>
      <c r="D6" s="2" t="s">
        <v>11</v>
      </c>
    </row>
    <row r="7" spans="1:4" ht="34.049999999999997" customHeight="1" x14ac:dyDescent="0.3">
      <c r="A7" s="2" t="s">
        <v>12</v>
      </c>
      <c r="B7" s="3">
        <v>1100</v>
      </c>
      <c r="C7" s="2" t="s">
        <v>13</v>
      </c>
      <c r="D7" s="2" t="s">
        <v>14</v>
      </c>
    </row>
    <row r="8" spans="1:4" ht="34.049999999999997" customHeight="1" x14ac:dyDescent="0.3">
      <c r="A8" s="2" t="s">
        <v>15</v>
      </c>
      <c r="B8" s="3">
        <f>B6*8000000/B7/3600</f>
        <v>12.121212121212123</v>
      </c>
      <c r="C8" s="2" t="s">
        <v>16</v>
      </c>
      <c r="D8" s="2" t="s">
        <v>17</v>
      </c>
    </row>
    <row r="9" spans="1:4" ht="34.049999999999997" customHeight="1" x14ac:dyDescent="0.3">
      <c r="A9" s="2" t="s">
        <v>18</v>
      </c>
      <c r="B9" s="3">
        <v>48</v>
      </c>
      <c r="C9" s="2" t="s">
        <v>16</v>
      </c>
      <c r="D9" s="2" t="s">
        <v>19</v>
      </c>
    </row>
    <row r="10" spans="1:4" ht="34.049999999999997" customHeight="1" x14ac:dyDescent="0.3">
      <c r="A10" s="2" t="s">
        <v>20</v>
      </c>
      <c r="B10" s="3">
        <v>6</v>
      </c>
      <c r="C10" s="2" t="s">
        <v>16</v>
      </c>
      <c r="D10" s="2" t="s">
        <v>21</v>
      </c>
    </row>
    <row r="11" spans="1:4" ht="34.049999999999997" customHeight="1" x14ac:dyDescent="0.3">
      <c r="A11" s="2" t="s">
        <v>22</v>
      </c>
      <c r="B11" s="3">
        <f>B9+B10</f>
        <v>54</v>
      </c>
      <c r="C11" s="2" t="s">
        <v>16</v>
      </c>
      <c r="D11" s="2" t="s">
        <v>23</v>
      </c>
    </row>
    <row r="12" spans="1:4" ht="34.049999999999997" customHeight="1" x14ac:dyDescent="0.3">
      <c r="A12" s="2" t="s">
        <v>24</v>
      </c>
      <c r="B12" s="3">
        <v>3</v>
      </c>
      <c r="C12" s="2" t="s">
        <v>25</v>
      </c>
      <c r="D12" s="2" t="s">
        <v>26</v>
      </c>
    </row>
    <row r="13" spans="1:4" ht="34.049999999999997" customHeight="1" x14ac:dyDescent="0.3">
      <c r="A13" s="2" t="s">
        <v>27</v>
      </c>
      <c r="B13" s="3">
        <f>B12*24</f>
        <v>72</v>
      </c>
      <c r="C13" s="2" t="s">
        <v>16</v>
      </c>
      <c r="D13" s="2" t="s">
        <v>28</v>
      </c>
    </row>
    <row r="14" spans="1:4" ht="34.049999999999997" customHeight="1" x14ac:dyDescent="0.3">
      <c r="A14" s="2" t="s">
        <v>29</v>
      </c>
      <c r="B14" s="3">
        <f>B13-B11</f>
        <v>18</v>
      </c>
      <c r="C14" s="2" t="s">
        <v>16</v>
      </c>
      <c r="D14" s="2" t="s">
        <v>30</v>
      </c>
    </row>
    <row r="15" spans="1:4" ht="34.049999999999997" customHeight="1" x14ac:dyDescent="0.3">
      <c r="A15" s="2" t="s">
        <v>31</v>
      </c>
      <c r="B15" s="3">
        <v>3</v>
      </c>
      <c r="C15" s="2" t="s">
        <v>16</v>
      </c>
      <c r="D15" s="2" t="s">
        <v>32</v>
      </c>
    </row>
    <row r="16" spans="1:4" ht="34.049999999999997" customHeight="1" x14ac:dyDescent="0.3"/>
    <row r="17" spans="1:4" ht="34.049999999999997" customHeight="1" x14ac:dyDescent="0.3"/>
    <row r="20" spans="1:4" x14ac:dyDescent="0.3">
      <c r="A20" s="21" t="s">
        <v>33</v>
      </c>
      <c r="B20" s="19"/>
      <c r="C20" s="19"/>
      <c r="D20" s="19"/>
    </row>
    <row r="21" spans="1:4" x14ac:dyDescent="0.3">
      <c r="A21" s="18" t="s">
        <v>34</v>
      </c>
      <c r="B21" s="19"/>
      <c r="C21" s="19"/>
      <c r="D21" s="19"/>
    </row>
    <row r="22" spans="1:4" x14ac:dyDescent="0.3">
      <c r="A22" s="19"/>
      <c r="B22" s="19"/>
      <c r="C22" s="19"/>
      <c r="D22" s="19"/>
    </row>
    <row r="23" spans="1:4" x14ac:dyDescent="0.3">
      <c r="A23" s="19"/>
      <c r="B23" s="19"/>
      <c r="C23" s="19"/>
      <c r="D23" s="19"/>
    </row>
    <row r="24" spans="1:4" x14ac:dyDescent="0.3">
      <c r="A24" s="19"/>
      <c r="B24" s="19"/>
      <c r="C24" s="19"/>
      <c r="D24" s="19"/>
    </row>
  </sheetData>
  <mergeCells count="4">
    <mergeCell ref="A21:D24"/>
    <mergeCell ref="A1:D1"/>
    <mergeCell ref="A20:D20"/>
    <mergeCell ref="A2:D2"/>
  </mergeCells>
  <pageMargins left="0.75" right="0.75" top="1" bottom="1" header="0.5" footer="0.5"/>
  <pageSetup fitToHeight="0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A64"/>
  <sheetViews>
    <sheetView showGridLines="0" tabSelected="1" workbookViewId="0">
      <pane xSplit="10" ySplit="5" topLeftCell="DK6" activePane="bottomRight" state="frozen"/>
      <selection pane="topRight"/>
      <selection pane="bottomLeft"/>
      <selection pane="bottomRight" activeCell="BF12" sqref="BF12"/>
    </sheetView>
  </sheetViews>
  <sheetFormatPr defaultRowHeight="14.4" x14ac:dyDescent="0.3"/>
  <cols>
    <col min="1" max="1" width="6.21875" customWidth="1"/>
    <col min="2" max="2" width="5.88671875" customWidth="1"/>
    <col min="3" max="4" width="15" customWidth="1"/>
    <col min="5" max="6" width="17" customWidth="1"/>
    <col min="7" max="7" width="12.5546875" customWidth="1"/>
    <col min="8" max="8" width="9.109375" customWidth="1"/>
    <col min="9" max="9" width="12.6640625" customWidth="1"/>
    <col min="10" max="10" width="25.44140625" customWidth="1"/>
    <col min="11" max="235" width="4.21875" customWidth="1"/>
  </cols>
  <sheetData>
    <row r="1" spans="1:235" ht="23.4" x14ac:dyDescent="0.3">
      <c r="A1" s="20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35" x14ac:dyDescent="0.3">
      <c r="A2" s="22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235" x14ac:dyDescent="0.3">
      <c r="J4" s="4" t="s">
        <v>37</v>
      </c>
      <c r="K4" s="5">
        <v>0</v>
      </c>
      <c r="L4" s="5">
        <v>3</v>
      </c>
      <c r="M4" s="5">
        <v>6</v>
      </c>
      <c r="N4" s="5">
        <v>9</v>
      </c>
      <c r="O4" s="5">
        <v>12</v>
      </c>
      <c r="P4" s="5">
        <v>15</v>
      </c>
      <c r="Q4" s="5">
        <v>18</v>
      </c>
      <c r="R4" s="5">
        <v>21</v>
      </c>
      <c r="S4" s="5">
        <v>24</v>
      </c>
      <c r="T4" s="5">
        <v>27</v>
      </c>
      <c r="U4" s="5">
        <v>30</v>
      </c>
      <c r="V4" s="5">
        <v>33</v>
      </c>
      <c r="W4" s="5">
        <v>36</v>
      </c>
      <c r="X4" s="5">
        <v>39</v>
      </c>
      <c r="Y4" s="5">
        <v>42</v>
      </c>
      <c r="Z4" s="5">
        <v>45</v>
      </c>
      <c r="AA4" s="5">
        <v>48</v>
      </c>
      <c r="AB4" s="5">
        <v>51</v>
      </c>
      <c r="AC4" s="5">
        <v>54</v>
      </c>
      <c r="AD4" s="5">
        <v>57</v>
      </c>
      <c r="AE4" s="5">
        <v>60</v>
      </c>
      <c r="AF4" s="5">
        <v>63</v>
      </c>
      <c r="AG4" s="5">
        <v>66</v>
      </c>
      <c r="AH4" s="5">
        <v>69</v>
      </c>
      <c r="AI4" s="5">
        <v>72</v>
      </c>
      <c r="AJ4" s="5">
        <v>75</v>
      </c>
      <c r="AK4" s="5">
        <v>78</v>
      </c>
      <c r="AL4" s="5">
        <v>81</v>
      </c>
      <c r="AM4" s="5">
        <v>84</v>
      </c>
      <c r="AN4" s="5">
        <v>87</v>
      </c>
      <c r="AO4" s="5">
        <v>90</v>
      </c>
      <c r="AP4" s="5">
        <v>93</v>
      </c>
      <c r="AQ4" s="5">
        <v>96</v>
      </c>
      <c r="AR4" s="5">
        <v>99</v>
      </c>
      <c r="AS4" s="5">
        <v>102</v>
      </c>
      <c r="AT4" s="5">
        <v>105</v>
      </c>
      <c r="AU4" s="5">
        <v>108</v>
      </c>
      <c r="AV4" s="5">
        <v>111</v>
      </c>
      <c r="AW4" s="5">
        <v>114</v>
      </c>
      <c r="AX4" s="5">
        <v>117</v>
      </c>
      <c r="AY4" s="5">
        <v>120</v>
      </c>
      <c r="AZ4" s="5">
        <v>123</v>
      </c>
      <c r="BA4" s="5">
        <v>126</v>
      </c>
      <c r="BB4" s="5">
        <v>129</v>
      </c>
      <c r="BC4" s="5">
        <v>132</v>
      </c>
      <c r="BD4" s="5">
        <v>135</v>
      </c>
      <c r="BE4" s="5">
        <v>138</v>
      </c>
      <c r="BF4" s="5">
        <v>141</v>
      </c>
      <c r="BG4" s="5">
        <v>144</v>
      </c>
      <c r="BH4" s="5">
        <v>147</v>
      </c>
      <c r="BI4" s="5">
        <v>150</v>
      </c>
      <c r="BJ4" s="5">
        <v>153</v>
      </c>
      <c r="BK4" s="5">
        <v>156</v>
      </c>
      <c r="BL4" s="5">
        <v>159</v>
      </c>
      <c r="BM4" s="5">
        <v>162</v>
      </c>
      <c r="BN4" s="5">
        <v>165</v>
      </c>
      <c r="BO4" s="5">
        <v>168</v>
      </c>
      <c r="BP4" s="5">
        <v>171</v>
      </c>
      <c r="BQ4" s="5">
        <v>174</v>
      </c>
      <c r="BR4" s="5">
        <v>177</v>
      </c>
      <c r="BS4" s="5">
        <v>180</v>
      </c>
      <c r="BT4" s="5">
        <v>183</v>
      </c>
      <c r="BU4" s="5">
        <v>186</v>
      </c>
      <c r="BV4" s="5">
        <v>189</v>
      </c>
      <c r="BW4" s="5">
        <v>192</v>
      </c>
      <c r="BX4" s="5">
        <v>195</v>
      </c>
      <c r="BY4" s="5">
        <v>198</v>
      </c>
      <c r="BZ4" s="5">
        <v>201</v>
      </c>
      <c r="CA4" s="5">
        <v>204</v>
      </c>
      <c r="CB4" s="5">
        <v>207</v>
      </c>
      <c r="CC4" s="5">
        <v>210</v>
      </c>
      <c r="CD4" s="5">
        <v>213</v>
      </c>
      <c r="CE4" s="5">
        <v>216</v>
      </c>
      <c r="CF4" s="5">
        <v>219</v>
      </c>
      <c r="CG4" s="5">
        <v>222</v>
      </c>
      <c r="CH4" s="5">
        <v>225</v>
      </c>
      <c r="CI4" s="5">
        <v>228</v>
      </c>
      <c r="CJ4" s="5">
        <v>231</v>
      </c>
      <c r="CK4" s="5">
        <v>234</v>
      </c>
      <c r="CL4" s="5">
        <v>237</v>
      </c>
      <c r="CM4" s="5">
        <v>240</v>
      </c>
      <c r="CN4" s="5">
        <v>243</v>
      </c>
      <c r="CO4" s="5">
        <v>246</v>
      </c>
      <c r="CP4" s="5">
        <v>249</v>
      </c>
      <c r="CQ4" s="5">
        <v>252</v>
      </c>
      <c r="CR4" s="5">
        <v>255</v>
      </c>
      <c r="CS4" s="5">
        <v>258</v>
      </c>
      <c r="CT4" s="5">
        <v>261</v>
      </c>
      <c r="CU4" s="5">
        <v>264</v>
      </c>
      <c r="CV4" s="5">
        <v>267</v>
      </c>
      <c r="CW4" s="5">
        <v>270</v>
      </c>
      <c r="CX4" s="5">
        <v>273</v>
      </c>
      <c r="CY4" s="5">
        <v>276</v>
      </c>
      <c r="CZ4" s="5">
        <v>279</v>
      </c>
      <c r="DA4" s="5">
        <v>282</v>
      </c>
      <c r="DB4" s="5">
        <v>285</v>
      </c>
      <c r="DC4" s="5">
        <v>288</v>
      </c>
      <c r="DD4" s="5">
        <v>291</v>
      </c>
      <c r="DE4" s="5">
        <v>294</v>
      </c>
      <c r="DF4" s="5">
        <v>297</v>
      </c>
      <c r="DG4" s="5">
        <v>300</v>
      </c>
      <c r="DH4" s="5">
        <v>303</v>
      </c>
      <c r="DI4" s="5">
        <v>306</v>
      </c>
      <c r="DJ4" s="5">
        <v>309</v>
      </c>
      <c r="DK4" s="5">
        <v>312</v>
      </c>
      <c r="DL4" s="5">
        <v>315</v>
      </c>
      <c r="DM4" s="5">
        <v>318</v>
      </c>
      <c r="DN4" s="5">
        <v>321</v>
      </c>
      <c r="DO4" s="5">
        <v>324</v>
      </c>
      <c r="DP4" s="5">
        <v>327</v>
      </c>
      <c r="DQ4" s="5">
        <v>330</v>
      </c>
      <c r="DR4" s="5">
        <v>333</v>
      </c>
      <c r="DS4" s="5">
        <v>336</v>
      </c>
      <c r="DT4" s="5">
        <v>339</v>
      </c>
      <c r="DU4" s="5">
        <v>342</v>
      </c>
      <c r="DV4" s="5">
        <v>345</v>
      </c>
      <c r="DW4" s="5">
        <v>348</v>
      </c>
      <c r="DX4" s="5">
        <v>351</v>
      </c>
      <c r="DY4" s="5">
        <v>354</v>
      </c>
      <c r="DZ4" s="5">
        <v>357</v>
      </c>
      <c r="EA4" s="5">
        <v>360</v>
      </c>
      <c r="EB4" s="5">
        <v>363</v>
      </c>
      <c r="EC4" s="5">
        <v>366</v>
      </c>
      <c r="ED4" s="5">
        <v>369</v>
      </c>
      <c r="EE4" s="5">
        <v>372</v>
      </c>
      <c r="EF4" s="5">
        <v>375</v>
      </c>
      <c r="EG4" s="5">
        <v>378</v>
      </c>
      <c r="EH4" s="5">
        <v>381</v>
      </c>
      <c r="EI4" s="5">
        <v>384</v>
      </c>
      <c r="EJ4" s="5">
        <v>387</v>
      </c>
      <c r="EK4" s="5">
        <v>390</v>
      </c>
      <c r="EL4" s="5">
        <v>393</v>
      </c>
      <c r="EM4" s="5">
        <v>396</v>
      </c>
      <c r="EN4" s="5">
        <v>399</v>
      </c>
      <c r="EO4" s="5">
        <v>402</v>
      </c>
      <c r="EP4" s="5">
        <v>405</v>
      </c>
      <c r="EQ4" s="5">
        <v>408</v>
      </c>
      <c r="ER4" s="5">
        <v>411</v>
      </c>
      <c r="ES4" s="5">
        <v>414</v>
      </c>
      <c r="ET4" s="5">
        <v>417</v>
      </c>
      <c r="EU4" s="5">
        <v>420</v>
      </c>
      <c r="EV4" s="5">
        <v>423</v>
      </c>
      <c r="EW4" s="5">
        <v>426</v>
      </c>
      <c r="EX4" s="5">
        <v>429</v>
      </c>
      <c r="EY4" s="5">
        <v>432</v>
      </c>
      <c r="EZ4" s="5">
        <v>435</v>
      </c>
      <c r="FA4" s="5">
        <v>438</v>
      </c>
      <c r="FB4" s="5">
        <v>441</v>
      </c>
      <c r="FC4" s="5">
        <v>444</v>
      </c>
      <c r="FD4" s="5">
        <v>447</v>
      </c>
      <c r="FE4" s="5">
        <v>450</v>
      </c>
      <c r="FF4" s="5">
        <v>453</v>
      </c>
      <c r="FG4" s="5">
        <v>456</v>
      </c>
      <c r="FH4" s="5">
        <v>459</v>
      </c>
      <c r="FI4" s="5">
        <v>462</v>
      </c>
      <c r="FJ4" s="5">
        <v>465</v>
      </c>
      <c r="FK4" s="5">
        <v>468</v>
      </c>
      <c r="FL4" s="5">
        <v>471</v>
      </c>
      <c r="FM4" s="5">
        <v>474</v>
      </c>
      <c r="FN4" s="5">
        <v>477</v>
      </c>
      <c r="FO4" s="5">
        <v>480</v>
      </c>
      <c r="FP4" s="5">
        <v>483</v>
      </c>
      <c r="FQ4" s="5">
        <v>486</v>
      </c>
      <c r="FR4" s="5">
        <v>489</v>
      </c>
      <c r="FS4" s="5">
        <v>492</v>
      </c>
      <c r="FT4" s="5">
        <v>495</v>
      </c>
      <c r="FU4" s="5">
        <v>498</v>
      </c>
      <c r="FV4" s="5">
        <v>501</v>
      </c>
      <c r="FW4" s="5">
        <v>504</v>
      </c>
      <c r="FX4" s="5">
        <v>507</v>
      </c>
      <c r="FY4" s="5">
        <v>510</v>
      </c>
      <c r="FZ4" s="5">
        <v>513</v>
      </c>
      <c r="GA4" s="5">
        <v>516</v>
      </c>
      <c r="GB4" s="5">
        <v>519</v>
      </c>
      <c r="GC4" s="5">
        <v>522</v>
      </c>
      <c r="GD4" s="5">
        <v>525</v>
      </c>
      <c r="GE4" s="5">
        <v>528</v>
      </c>
      <c r="GF4" s="5">
        <v>531</v>
      </c>
      <c r="GG4" s="5">
        <v>534</v>
      </c>
      <c r="GH4" s="5">
        <v>537</v>
      </c>
      <c r="GI4" s="5">
        <v>540</v>
      </c>
      <c r="GJ4" s="5">
        <v>543</v>
      </c>
      <c r="GK4" s="5">
        <v>546</v>
      </c>
      <c r="GL4" s="5">
        <v>549</v>
      </c>
      <c r="GM4" s="5">
        <v>552</v>
      </c>
      <c r="GN4" s="5">
        <v>555</v>
      </c>
      <c r="GO4" s="5">
        <v>558</v>
      </c>
      <c r="GP4" s="5">
        <v>561</v>
      </c>
      <c r="GQ4" s="5">
        <v>564</v>
      </c>
      <c r="GR4" s="5">
        <v>567</v>
      </c>
      <c r="GS4" s="5">
        <v>570</v>
      </c>
      <c r="GT4" s="5">
        <v>573</v>
      </c>
      <c r="GU4" s="5">
        <v>576</v>
      </c>
      <c r="GV4" s="5">
        <v>579</v>
      </c>
      <c r="GW4" s="5">
        <v>582</v>
      </c>
      <c r="GX4" s="5">
        <v>585</v>
      </c>
      <c r="GY4" s="5">
        <v>588</v>
      </c>
      <c r="GZ4" s="5">
        <v>591</v>
      </c>
      <c r="HA4" s="5">
        <v>594</v>
      </c>
      <c r="HB4" s="5">
        <v>597</v>
      </c>
      <c r="HC4" s="5">
        <v>600</v>
      </c>
      <c r="HD4" s="5">
        <v>603</v>
      </c>
      <c r="HE4" s="5">
        <v>606</v>
      </c>
      <c r="HF4" s="5">
        <v>609</v>
      </c>
      <c r="HG4" s="5">
        <v>612</v>
      </c>
      <c r="HH4" s="5">
        <v>615</v>
      </c>
      <c r="HI4" s="5">
        <v>618</v>
      </c>
      <c r="HJ4" s="5">
        <v>621</v>
      </c>
      <c r="HK4" s="5">
        <v>624</v>
      </c>
      <c r="HL4" s="5">
        <v>627</v>
      </c>
      <c r="HM4" s="5">
        <v>630</v>
      </c>
      <c r="HN4" s="5">
        <v>633</v>
      </c>
      <c r="HO4" s="5">
        <v>636</v>
      </c>
      <c r="HP4" s="5">
        <v>639</v>
      </c>
      <c r="HQ4" s="5">
        <v>642</v>
      </c>
      <c r="HR4" s="5">
        <v>645</v>
      </c>
      <c r="HS4" s="5">
        <v>648</v>
      </c>
      <c r="HT4" s="5">
        <v>651</v>
      </c>
      <c r="HU4" s="5">
        <v>654</v>
      </c>
      <c r="HV4" s="5">
        <v>657</v>
      </c>
      <c r="HW4" s="5">
        <v>660</v>
      </c>
      <c r="HX4" s="5">
        <v>663</v>
      </c>
      <c r="HY4" s="5">
        <v>666</v>
      </c>
      <c r="HZ4" s="5">
        <v>669</v>
      </c>
      <c r="IA4" s="5">
        <v>672</v>
      </c>
    </row>
    <row r="5" spans="1:235" ht="59.4" customHeight="1" x14ac:dyDescent="0.3">
      <c r="A5" s="6" t="s">
        <v>38</v>
      </c>
      <c r="B5" s="6" t="s">
        <v>70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</row>
    <row r="6" spans="1:235" ht="25.95" customHeight="1" x14ac:dyDescent="0.3">
      <c r="A6" s="7">
        <v>1</v>
      </c>
      <c r="B6" s="7">
        <f>Premissas!$B$6</f>
        <v>6</v>
      </c>
      <c r="C6" s="7">
        <f>0*Premissas!$B$8</f>
        <v>0</v>
      </c>
      <c r="D6" s="7">
        <f>C6+Premissas!$B$9</f>
        <v>48</v>
      </c>
      <c r="E6" s="7">
        <f>C6+Premissas!$B$11</f>
        <v>54</v>
      </c>
      <c r="F6" s="7">
        <f>E6+Premissas!$B$8</f>
        <v>66.121212121212125</v>
      </c>
      <c r="G6" s="7">
        <f>Premissas!$B$11</f>
        <v>54</v>
      </c>
      <c r="H6" s="7">
        <f>Premissas!$B$12</f>
        <v>3</v>
      </c>
      <c r="I6" s="7" t="s">
        <v>47</v>
      </c>
      <c r="J6" s="8" t="s">
        <v>48</v>
      </c>
      <c r="K6" s="17" t="str">
        <f t="shared" ref="K6:T15" si="0">IF(AND(K$4&gt;=$C6,K$4&lt;$D6),"R",IF(AND(K$4&gt;=$D6,K$4&lt;$E6),"P",IF(AND(K$4&gt;=$E6,K$4&lt;$F6),"T","")))</f>
        <v>R</v>
      </c>
      <c r="L6" s="17" t="str">
        <f t="shared" si="0"/>
        <v>R</v>
      </c>
      <c r="M6" s="17" t="str">
        <f t="shared" si="0"/>
        <v>R</v>
      </c>
      <c r="N6" s="17" t="str">
        <f t="shared" si="0"/>
        <v>R</v>
      </c>
      <c r="O6" s="17" t="str">
        <f t="shared" si="0"/>
        <v>R</v>
      </c>
      <c r="P6" s="17" t="str">
        <f t="shared" si="0"/>
        <v>R</v>
      </c>
      <c r="Q6" s="17" t="str">
        <f t="shared" si="0"/>
        <v>R</v>
      </c>
      <c r="R6" s="17" t="str">
        <f t="shared" si="0"/>
        <v>R</v>
      </c>
      <c r="S6" s="17" t="str">
        <f t="shared" si="0"/>
        <v>R</v>
      </c>
      <c r="T6" s="17" t="str">
        <f t="shared" si="0"/>
        <v>R</v>
      </c>
      <c r="U6" s="17" t="str">
        <f t="shared" ref="U6:AD15" si="1">IF(AND(U$4&gt;=$C6,U$4&lt;$D6),"R",IF(AND(U$4&gt;=$D6,U$4&lt;$E6),"P",IF(AND(U$4&gt;=$E6,U$4&lt;$F6),"T","")))</f>
        <v>R</v>
      </c>
      <c r="V6" s="17" t="str">
        <f t="shared" si="1"/>
        <v>R</v>
      </c>
      <c r="W6" s="17" t="str">
        <f t="shared" si="1"/>
        <v>R</v>
      </c>
      <c r="X6" s="17" t="str">
        <f t="shared" si="1"/>
        <v>R</v>
      </c>
      <c r="Y6" s="17" t="str">
        <f t="shared" si="1"/>
        <v>R</v>
      </c>
      <c r="Z6" s="17" t="str">
        <f t="shared" si="1"/>
        <v>R</v>
      </c>
      <c r="AA6" s="17" t="str">
        <f t="shared" si="1"/>
        <v>P</v>
      </c>
      <c r="AB6" s="17" t="str">
        <f t="shared" si="1"/>
        <v>P</v>
      </c>
      <c r="AC6" s="17" t="str">
        <f t="shared" si="1"/>
        <v>T</v>
      </c>
      <c r="AD6" s="17" t="str">
        <f t="shared" si="1"/>
        <v>T</v>
      </c>
      <c r="AE6" s="17" t="str">
        <f t="shared" ref="AE6:AN15" si="2">IF(AND(AE$4&gt;=$C6,AE$4&lt;$D6),"R",IF(AND(AE$4&gt;=$D6,AE$4&lt;$E6),"P",IF(AND(AE$4&gt;=$E6,AE$4&lt;$F6),"T","")))</f>
        <v>T</v>
      </c>
      <c r="AF6" s="17" t="str">
        <f t="shared" si="2"/>
        <v>T</v>
      </c>
      <c r="AG6" s="17" t="str">
        <f t="shared" si="2"/>
        <v>T</v>
      </c>
      <c r="AH6" s="17" t="str">
        <f t="shared" si="2"/>
        <v/>
      </c>
      <c r="AI6" s="17" t="str">
        <f t="shared" si="2"/>
        <v/>
      </c>
      <c r="AJ6" s="17" t="str">
        <f t="shared" si="2"/>
        <v/>
      </c>
      <c r="AK6" s="17" t="str">
        <f t="shared" si="2"/>
        <v/>
      </c>
      <c r="AL6" s="17" t="str">
        <f t="shared" si="2"/>
        <v/>
      </c>
      <c r="AM6" s="17" t="str">
        <f t="shared" si="2"/>
        <v/>
      </c>
      <c r="AN6" s="17" t="str">
        <f t="shared" si="2"/>
        <v/>
      </c>
      <c r="AO6" s="17" t="str">
        <f t="shared" ref="AO6:AX15" si="3">IF(AND(AO$4&gt;=$C6,AO$4&lt;$D6),"R",IF(AND(AO$4&gt;=$D6,AO$4&lt;$E6),"P",IF(AND(AO$4&gt;=$E6,AO$4&lt;$F6),"T","")))</f>
        <v/>
      </c>
      <c r="AP6" s="17" t="str">
        <f t="shared" si="3"/>
        <v/>
      </c>
      <c r="AQ6" s="17" t="str">
        <f t="shared" si="3"/>
        <v/>
      </c>
      <c r="AR6" s="17" t="str">
        <f t="shared" si="3"/>
        <v/>
      </c>
      <c r="AS6" s="17" t="str">
        <f t="shared" si="3"/>
        <v/>
      </c>
      <c r="AT6" s="17" t="str">
        <f t="shared" si="3"/>
        <v/>
      </c>
      <c r="AU6" s="17" t="str">
        <f t="shared" si="3"/>
        <v/>
      </c>
      <c r="AV6" s="17" t="str">
        <f t="shared" si="3"/>
        <v/>
      </c>
      <c r="AW6" s="17" t="str">
        <f t="shared" si="3"/>
        <v/>
      </c>
      <c r="AX6" s="17" t="str">
        <f t="shared" si="3"/>
        <v/>
      </c>
      <c r="AY6" s="17" t="str">
        <f t="shared" ref="AY6:BH15" si="4">IF(AND(AY$4&gt;=$C6,AY$4&lt;$D6),"R",IF(AND(AY$4&gt;=$D6,AY$4&lt;$E6),"P",IF(AND(AY$4&gt;=$E6,AY$4&lt;$F6),"T","")))</f>
        <v/>
      </c>
      <c r="AZ6" s="17" t="str">
        <f t="shared" si="4"/>
        <v/>
      </c>
      <c r="BA6" s="17" t="str">
        <f t="shared" si="4"/>
        <v/>
      </c>
      <c r="BB6" s="17" t="str">
        <f t="shared" si="4"/>
        <v/>
      </c>
      <c r="BC6" s="17" t="str">
        <f t="shared" si="4"/>
        <v/>
      </c>
      <c r="BD6" s="17" t="str">
        <f t="shared" si="4"/>
        <v/>
      </c>
      <c r="BE6" s="17" t="str">
        <f t="shared" si="4"/>
        <v/>
      </c>
      <c r="BF6" s="17" t="str">
        <f t="shared" si="4"/>
        <v/>
      </c>
      <c r="BG6" s="17" t="str">
        <f t="shared" si="4"/>
        <v/>
      </c>
      <c r="BH6" s="17" t="str">
        <f t="shared" si="4"/>
        <v/>
      </c>
      <c r="BI6" s="17" t="str">
        <f t="shared" ref="BI6:BR15" si="5">IF(AND(BI$4&gt;=$C6,BI$4&lt;$D6),"R",IF(AND(BI$4&gt;=$D6,BI$4&lt;$E6),"P",IF(AND(BI$4&gt;=$E6,BI$4&lt;$F6),"T","")))</f>
        <v/>
      </c>
      <c r="BJ6" s="17" t="str">
        <f t="shared" si="5"/>
        <v/>
      </c>
      <c r="BK6" s="17" t="str">
        <f t="shared" si="5"/>
        <v/>
      </c>
      <c r="BL6" s="17" t="str">
        <f t="shared" si="5"/>
        <v/>
      </c>
      <c r="BM6" s="17" t="str">
        <f t="shared" si="5"/>
        <v/>
      </c>
      <c r="BN6" s="17" t="str">
        <f t="shared" si="5"/>
        <v/>
      </c>
      <c r="BO6" s="17" t="str">
        <f t="shared" si="5"/>
        <v/>
      </c>
      <c r="BP6" s="17" t="str">
        <f t="shared" si="5"/>
        <v/>
      </c>
      <c r="BQ6" s="17" t="str">
        <f t="shared" si="5"/>
        <v/>
      </c>
      <c r="BR6" s="17" t="str">
        <f t="shared" si="5"/>
        <v/>
      </c>
      <c r="BS6" s="17" t="str">
        <f t="shared" ref="BS6:CB15" si="6">IF(AND(BS$4&gt;=$C6,BS$4&lt;$D6),"R",IF(AND(BS$4&gt;=$D6,BS$4&lt;$E6),"P",IF(AND(BS$4&gt;=$E6,BS$4&lt;$F6),"T","")))</f>
        <v/>
      </c>
      <c r="BT6" s="17" t="str">
        <f t="shared" si="6"/>
        <v/>
      </c>
      <c r="BU6" s="17" t="str">
        <f t="shared" si="6"/>
        <v/>
      </c>
      <c r="BV6" s="17" t="str">
        <f t="shared" si="6"/>
        <v/>
      </c>
      <c r="BW6" s="17" t="str">
        <f t="shared" si="6"/>
        <v/>
      </c>
      <c r="BX6" s="17" t="str">
        <f t="shared" si="6"/>
        <v/>
      </c>
      <c r="BY6" s="17" t="str">
        <f t="shared" si="6"/>
        <v/>
      </c>
      <c r="BZ6" s="17" t="str">
        <f t="shared" si="6"/>
        <v/>
      </c>
      <c r="CA6" s="17" t="str">
        <f t="shared" si="6"/>
        <v/>
      </c>
      <c r="CB6" s="17" t="str">
        <f t="shared" si="6"/>
        <v/>
      </c>
      <c r="CC6" s="17" t="str">
        <f t="shared" ref="CC6:CL15" si="7">IF(AND(CC$4&gt;=$C6,CC$4&lt;$D6),"R",IF(AND(CC$4&gt;=$D6,CC$4&lt;$E6),"P",IF(AND(CC$4&gt;=$E6,CC$4&lt;$F6),"T","")))</f>
        <v/>
      </c>
      <c r="CD6" s="17" t="str">
        <f t="shared" si="7"/>
        <v/>
      </c>
      <c r="CE6" s="17" t="str">
        <f t="shared" si="7"/>
        <v/>
      </c>
      <c r="CF6" s="17" t="str">
        <f t="shared" si="7"/>
        <v/>
      </c>
      <c r="CG6" s="17" t="str">
        <f t="shared" si="7"/>
        <v/>
      </c>
      <c r="CH6" s="17" t="str">
        <f t="shared" si="7"/>
        <v/>
      </c>
      <c r="CI6" s="17" t="str">
        <f t="shared" si="7"/>
        <v/>
      </c>
      <c r="CJ6" s="17" t="str">
        <f t="shared" si="7"/>
        <v/>
      </c>
      <c r="CK6" s="17" t="str">
        <f t="shared" si="7"/>
        <v/>
      </c>
      <c r="CL6" s="17" t="str">
        <f t="shared" si="7"/>
        <v/>
      </c>
      <c r="CM6" s="17" t="str">
        <f t="shared" ref="CM6:CV15" si="8">IF(AND(CM$4&gt;=$C6,CM$4&lt;$D6),"R",IF(AND(CM$4&gt;=$D6,CM$4&lt;$E6),"P",IF(AND(CM$4&gt;=$E6,CM$4&lt;$F6),"T","")))</f>
        <v/>
      </c>
      <c r="CN6" s="17" t="str">
        <f t="shared" si="8"/>
        <v/>
      </c>
      <c r="CO6" s="17" t="str">
        <f t="shared" si="8"/>
        <v/>
      </c>
      <c r="CP6" s="17" t="str">
        <f t="shared" si="8"/>
        <v/>
      </c>
      <c r="CQ6" s="17" t="str">
        <f t="shared" si="8"/>
        <v/>
      </c>
      <c r="CR6" s="17" t="str">
        <f t="shared" si="8"/>
        <v/>
      </c>
      <c r="CS6" s="17" t="str">
        <f t="shared" si="8"/>
        <v/>
      </c>
      <c r="CT6" s="17" t="str">
        <f t="shared" si="8"/>
        <v/>
      </c>
      <c r="CU6" s="17" t="str">
        <f t="shared" si="8"/>
        <v/>
      </c>
      <c r="CV6" s="17" t="str">
        <f t="shared" si="8"/>
        <v/>
      </c>
      <c r="CW6" s="17" t="str">
        <f t="shared" ref="CW6:DF15" si="9">IF(AND(CW$4&gt;=$C6,CW$4&lt;$D6),"R",IF(AND(CW$4&gt;=$D6,CW$4&lt;$E6),"P",IF(AND(CW$4&gt;=$E6,CW$4&lt;$F6),"T","")))</f>
        <v/>
      </c>
      <c r="CX6" s="17" t="str">
        <f t="shared" si="9"/>
        <v/>
      </c>
      <c r="CY6" s="17" t="str">
        <f t="shared" si="9"/>
        <v/>
      </c>
      <c r="CZ6" s="17" t="str">
        <f t="shared" si="9"/>
        <v/>
      </c>
      <c r="DA6" s="17" t="str">
        <f t="shared" si="9"/>
        <v/>
      </c>
      <c r="DB6" s="17" t="str">
        <f t="shared" si="9"/>
        <v/>
      </c>
      <c r="DC6" s="17" t="str">
        <f t="shared" si="9"/>
        <v/>
      </c>
      <c r="DD6" s="17" t="str">
        <f t="shared" si="9"/>
        <v/>
      </c>
      <c r="DE6" s="17" t="str">
        <f t="shared" si="9"/>
        <v/>
      </c>
      <c r="DF6" s="17" t="str">
        <f t="shared" si="9"/>
        <v/>
      </c>
      <c r="DG6" s="17" t="str">
        <f t="shared" ref="DG6:DP15" si="10">IF(AND(DG$4&gt;=$C6,DG$4&lt;$D6),"R",IF(AND(DG$4&gt;=$D6,DG$4&lt;$E6),"P",IF(AND(DG$4&gt;=$E6,DG$4&lt;$F6),"T","")))</f>
        <v/>
      </c>
      <c r="DH6" s="17" t="str">
        <f t="shared" si="10"/>
        <v/>
      </c>
      <c r="DI6" s="17" t="str">
        <f t="shared" si="10"/>
        <v/>
      </c>
      <c r="DJ6" s="17" t="str">
        <f t="shared" si="10"/>
        <v/>
      </c>
      <c r="DK6" s="17" t="str">
        <f t="shared" si="10"/>
        <v/>
      </c>
      <c r="DL6" s="17" t="str">
        <f t="shared" si="10"/>
        <v/>
      </c>
      <c r="DM6" s="17" t="str">
        <f t="shared" si="10"/>
        <v/>
      </c>
      <c r="DN6" s="17" t="str">
        <f t="shared" si="10"/>
        <v/>
      </c>
      <c r="DO6" s="17" t="str">
        <f t="shared" si="10"/>
        <v/>
      </c>
      <c r="DP6" s="17" t="str">
        <f t="shared" si="10"/>
        <v/>
      </c>
      <c r="DQ6" s="17" t="str">
        <f t="shared" ref="DQ6:DZ15" si="11">IF(AND(DQ$4&gt;=$C6,DQ$4&lt;$D6),"R",IF(AND(DQ$4&gt;=$D6,DQ$4&lt;$E6),"P",IF(AND(DQ$4&gt;=$E6,DQ$4&lt;$F6),"T","")))</f>
        <v/>
      </c>
      <c r="DR6" s="17" t="str">
        <f t="shared" si="11"/>
        <v/>
      </c>
      <c r="DS6" s="17" t="str">
        <f t="shared" si="11"/>
        <v/>
      </c>
      <c r="DT6" s="17" t="str">
        <f t="shared" si="11"/>
        <v/>
      </c>
      <c r="DU6" s="17" t="str">
        <f t="shared" si="11"/>
        <v/>
      </c>
      <c r="DV6" s="17" t="str">
        <f t="shared" si="11"/>
        <v/>
      </c>
      <c r="DW6" s="17" t="str">
        <f t="shared" si="11"/>
        <v/>
      </c>
      <c r="DX6" s="17" t="str">
        <f t="shared" si="11"/>
        <v/>
      </c>
      <c r="DY6" s="17" t="str">
        <f t="shared" si="11"/>
        <v/>
      </c>
      <c r="DZ6" s="17" t="str">
        <f t="shared" si="11"/>
        <v/>
      </c>
      <c r="EA6" s="17" t="str">
        <f t="shared" ref="EA6:EJ15" si="12">IF(AND(EA$4&gt;=$C6,EA$4&lt;$D6),"R",IF(AND(EA$4&gt;=$D6,EA$4&lt;$E6),"P",IF(AND(EA$4&gt;=$E6,EA$4&lt;$F6),"T","")))</f>
        <v/>
      </c>
      <c r="EB6" s="17" t="str">
        <f t="shared" si="12"/>
        <v/>
      </c>
      <c r="EC6" s="17" t="str">
        <f t="shared" si="12"/>
        <v/>
      </c>
      <c r="ED6" s="17" t="str">
        <f t="shared" si="12"/>
        <v/>
      </c>
      <c r="EE6" s="17" t="str">
        <f t="shared" si="12"/>
        <v/>
      </c>
      <c r="EF6" s="17" t="str">
        <f t="shared" si="12"/>
        <v/>
      </c>
      <c r="EG6" s="17" t="str">
        <f t="shared" si="12"/>
        <v/>
      </c>
      <c r="EH6" s="17" t="str">
        <f t="shared" si="12"/>
        <v/>
      </c>
      <c r="EI6" s="17" t="str">
        <f t="shared" si="12"/>
        <v/>
      </c>
      <c r="EJ6" s="17" t="str">
        <f t="shared" si="12"/>
        <v/>
      </c>
      <c r="EK6" s="17" t="str">
        <f t="shared" ref="EK6:ET15" si="13">IF(AND(EK$4&gt;=$C6,EK$4&lt;$D6),"R",IF(AND(EK$4&gt;=$D6,EK$4&lt;$E6),"P",IF(AND(EK$4&gt;=$E6,EK$4&lt;$F6),"T","")))</f>
        <v/>
      </c>
      <c r="EL6" s="17" t="str">
        <f t="shared" si="13"/>
        <v/>
      </c>
      <c r="EM6" s="17" t="str">
        <f t="shared" si="13"/>
        <v/>
      </c>
      <c r="EN6" s="17" t="str">
        <f t="shared" si="13"/>
        <v/>
      </c>
      <c r="EO6" s="17" t="str">
        <f t="shared" si="13"/>
        <v/>
      </c>
      <c r="EP6" s="17" t="str">
        <f t="shared" si="13"/>
        <v/>
      </c>
      <c r="EQ6" s="17" t="str">
        <f t="shared" si="13"/>
        <v/>
      </c>
      <c r="ER6" s="17" t="str">
        <f t="shared" si="13"/>
        <v/>
      </c>
      <c r="ES6" s="17" t="str">
        <f t="shared" si="13"/>
        <v/>
      </c>
      <c r="ET6" s="17" t="str">
        <f t="shared" si="13"/>
        <v/>
      </c>
      <c r="EU6" s="17" t="str">
        <f t="shared" ref="EU6:FD15" si="14">IF(AND(EU$4&gt;=$C6,EU$4&lt;$D6),"R",IF(AND(EU$4&gt;=$D6,EU$4&lt;$E6),"P",IF(AND(EU$4&gt;=$E6,EU$4&lt;$F6),"T","")))</f>
        <v/>
      </c>
      <c r="EV6" s="17" t="str">
        <f t="shared" si="14"/>
        <v/>
      </c>
      <c r="EW6" s="17" t="str">
        <f t="shared" si="14"/>
        <v/>
      </c>
      <c r="EX6" s="17" t="str">
        <f t="shared" si="14"/>
        <v/>
      </c>
      <c r="EY6" s="17" t="str">
        <f t="shared" si="14"/>
        <v/>
      </c>
      <c r="EZ6" s="17" t="str">
        <f t="shared" si="14"/>
        <v/>
      </c>
      <c r="FA6" s="17" t="str">
        <f t="shared" si="14"/>
        <v/>
      </c>
      <c r="FB6" s="17" t="str">
        <f t="shared" si="14"/>
        <v/>
      </c>
      <c r="FC6" s="17" t="str">
        <f t="shared" si="14"/>
        <v/>
      </c>
      <c r="FD6" s="17" t="str">
        <f t="shared" si="14"/>
        <v/>
      </c>
      <c r="FE6" s="17" t="str">
        <f t="shared" ref="FE6:FN15" si="15">IF(AND(FE$4&gt;=$C6,FE$4&lt;$D6),"R",IF(AND(FE$4&gt;=$D6,FE$4&lt;$E6),"P",IF(AND(FE$4&gt;=$E6,FE$4&lt;$F6),"T","")))</f>
        <v/>
      </c>
      <c r="FF6" s="17" t="str">
        <f t="shared" si="15"/>
        <v/>
      </c>
      <c r="FG6" s="17" t="str">
        <f t="shared" si="15"/>
        <v/>
      </c>
      <c r="FH6" s="17" t="str">
        <f t="shared" si="15"/>
        <v/>
      </c>
      <c r="FI6" s="17" t="str">
        <f t="shared" si="15"/>
        <v/>
      </c>
      <c r="FJ6" s="17" t="str">
        <f t="shared" si="15"/>
        <v/>
      </c>
      <c r="FK6" s="17" t="str">
        <f t="shared" si="15"/>
        <v/>
      </c>
      <c r="FL6" s="17" t="str">
        <f t="shared" si="15"/>
        <v/>
      </c>
      <c r="FM6" s="17" t="str">
        <f t="shared" si="15"/>
        <v/>
      </c>
      <c r="FN6" s="17" t="str">
        <f t="shared" si="15"/>
        <v/>
      </c>
      <c r="FO6" s="17" t="str">
        <f t="shared" ref="FO6:FX15" si="16">IF(AND(FO$4&gt;=$C6,FO$4&lt;$D6),"R",IF(AND(FO$4&gt;=$D6,FO$4&lt;$E6),"P",IF(AND(FO$4&gt;=$E6,FO$4&lt;$F6),"T","")))</f>
        <v/>
      </c>
      <c r="FP6" s="17" t="str">
        <f t="shared" si="16"/>
        <v/>
      </c>
      <c r="FQ6" s="17" t="str">
        <f t="shared" si="16"/>
        <v/>
      </c>
      <c r="FR6" s="17" t="str">
        <f t="shared" si="16"/>
        <v/>
      </c>
      <c r="FS6" s="17" t="str">
        <f t="shared" si="16"/>
        <v/>
      </c>
      <c r="FT6" s="17" t="str">
        <f t="shared" si="16"/>
        <v/>
      </c>
      <c r="FU6" s="17" t="str">
        <f t="shared" si="16"/>
        <v/>
      </c>
      <c r="FV6" s="17" t="str">
        <f t="shared" si="16"/>
        <v/>
      </c>
      <c r="FW6" s="17" t="str">
        <f t="shared" si="16"/>
        <v/>
      </c>
      <c r="FX6" s="17" t="str">
        <f t="shared" si="16"/>
        <v/>
      </c>
      <c r="FY6" s="17" t="str">
        <f t="shared" ref="FY6:GH15" si="17">IF(AND(FY$4&gt;=$C6,FY$4&lt;$D6),"R",IF(AND(FY$4&gt;=$D6,FY$4&lt;$E6),"P",IF(AND(FY$4&gt;=$E6,FY$4&lt;$F6),"T","")))</f>
        <v/>
      </c>
      <c r="FZ6" s="17" t="str">
        <f t="shared" si="17"/>
        <v/>
      </c>
      <c r="GA6" s="17" t="str">
        <f t="shared" si="17"/>
        <v/>
      </c>
      <c r="GB6" s="17" t="str">
        <f t="shared" si="17"/>
        <v/>
      </c>
      <c r="GC6" s="17" t="str">
        <f t="shared" si="17"/>
        <v/>
      </c>
      <c r="GD6" s="17" t="str">
        <f t="shared" si="17"/>
        <v/>
      </c>
      <c r="GE6" s="17" t="str">
        <f t="shared" si="17"/>
        <v/>
      </c>
      <c r="GF6" s="17" t="str">
        <f t="shared" si="17"/>
        <v/>
      </c>
      <c r="GG6" s="17" t="str">
        <f t="shared" si="17"/>
        <v/>
      </c>
      <c r="GH6" s="17" t="str">
        <f t="shared" si="17"/>
        <v/>
      </c>
      <c r="GI6" s="17" t="str">
        <f t="shared" ref="GI6:GR15" si="18">IF(AND(GI$4&gt;=$C6,GI$4&lt;$D6),"R",IF(AND(GI$4&gt;=$D6,GI$4&lt;$E6),"P",IF(AND(GI$4&gt;=$E6,GI$4&lt;$F6),"T","")))</f>
        <v/>
      </c>
      <c r="GJ6" s="17" t="str">
        <f t="shared" si="18"/>
        <v/>
      </c>
      <c r="GK6" s="17" t="str">
        <f t="shared" si="18"/>
        <v/>
      </c>
      <c r="GL6" s="17" t="str">
        <f t="shared" si="18"/>
        <v/>
      </c>
      <c r="GM6" s="17" t="str">
        <f t="shared" si="18"/>
        <v/>
      </c>
      <c r="GN6" s="17" t="str">
        <f t="shared" si="18"/>
        <v/>
      </c>
      <c r="GO6" s="17" t="str">
        <f t="shared" si="18"/>
        <v/>
      </c>
      <c r="GP6" s="17" t="str">
        <f t="shared" si="18"/>
        <v/>
      </c>
      <c r="GQ6" s="17" t="str">
        <f t="shared" si="18"/>
        <v/>
      </c>
      <c r="GR6" s="17" t="str">
        <f t="shared" si="18"/>
        <v/>
      </c>
      <c r="GS6" s="17" t="str">
        <f t="shared" ref="GS6:HB15" si="19">IF(AND(GS$4&gt;=$C6,GS$4&lt;$D6),"R",IF(AND(GS$4&gt;=$D6,GS$4&lt;$E6),"P",IF(AND(GS$4&gt;=$E6,GS$4&lt;$F6),"T","")))</f>
        <v/>
      </c>
      <c r="GT6" s="17" t="str">
        <f t="shared" si="19"/>
        <v/>
      </c>
      <c r="GU6" s="17" t="str">
        <f t="shared" si="19"/>
        <v/>
      </c>
      <c r="GV6" s="17" t="str">
        <f t="shared" si="19"/>
        <v/>
      </c>
      <c r="GW6" s="17" t="str">
        <f t="shared" si="19"/>
        <v/>
      </c>
      <c r="GX6" s="17" t="str">
        <f t="shared" si="19"/>
        <v/>
      </c>
      <c r="GY6" s="17" t="str">
        <f t="shared" si="19"/>
        <v/>
      </c>
      <c r="GZ6" s="17" t="str">
        <f t="shared" si="19"/>
        <v/>
      </c>
      <c r="HA6" s="17" t="str">
        <f t="shared" si="19"/>
        <v/>
      </c>
      <c r="HB6" s="17" t="str">
        <f t="shared" si="19"/>
        <v/>
      </c>
      <c r="HC6" s="17" t="str">
        <f t="shared" ref="HC6:HL15" si="20">IF(AND(HC$4&gt;=$C6,HC$4&lt;$D6),"R",IF(AND(HC$4&gt;=$D6,HC$4&lt;$E6),"P",IF(AND(HC$4&gt;=$E6,HC$4&lt;$F6),"T","")))</f>
        <v/>
      </c>
      <c r="HD6" s="17" t="str">
        <f t="shared" si="20"/>
        <v/>
      </c>
      <c r="HE6" s="17" t="str">
        <f t="shared" si="20"/>
        <v/>
      </c>
      <c r="HF6" s="17" t="str">
        <f t="shared" si="20"/>
        <v/>
      </c>
      <c r="HG6" s="17" t="str">
        <f t="shared" si="20"/>
        <v/>
      </c>
      <c r="HH6" s="17" t="str">
        <f t="shared" si="20"/>
        <v/>
      </c>
      <c r="HI6" s="17" t="str">
        <f t="shared" si="20"/>
        <v/>
      </c>
      <c r="HJ6" s="17" t="str">
        <f t="shared" si="20"/>
        <v/>
      </c>
      <c r="HK6" s="17" t="str">
        <f t="shared" si="20"/>
        <v/>
      </c>
      <c r="HL6" s="17" t="str">
        <f t="shared" si="20"/>
        <v/>
      </c>
      <c r="HM6" s="17" t="str">
        <f t="shared" ref="HM6:IA15" si="21">IF(AND(HM$4&gt;=$C6,HM$4&lt;$D6),"R",IF(AND(HM$4&gt;=$D6,HM$4&lt;$E6),"P",IF(AND(HM$4&gt;=$E6,HM$4&lt;$F6),"T","")))</f>
        <v/>
      </c>
      <c r="HN6" s="17" t="str">
        <f t="shared" si="21"/>
        <v/>
      </c>
      <c r="HO6" s="17" t="str">
        <f t="shared" si="21"/>
        <v/>
      </c>
      <c r="HP6" s="17" t="str">
        <f t="shared" si="21"/>
        <v/>
      </c>
      <c r="HQ6" s="17" t="str">
        <f t="shared" si="21"/>
        <v/>
      </c>
      <c r="HR6" s="17" t="str">
        <f t="shared" si="21"/>
        <v/>
      </c>
      <c r="HS6" s="17" t="str">
        <f t="shared" si="21"/>
        <v/>
      </c>
      <c r="HT6" s="17" t="str">
        <f t="shared" si="21"/>
        <v/>
      </c>
      <c r="HU6" s="17" t="str">
        <f t="shared" si="21"/>
        <v/>
      </c>
      <c r="HV6" s="17" t="str">
        <f t="shared" si="21"/>
        <v/>
      </c>
      <c r="HW6" s="17" t="str">
        <f t="shared" si="21"/>
        <v/>
      </c>
      <c r="HX6" s="17" t="str">
        <f t="shared" si="21"/>
        <v/>
      </c>
      <c r="HY6" s="17" t="str">
        <f t="shared" si="21"/>
        <v/>
      </c>
      <c r="HZ6" s="17" t="str">
        <f t="shared" si="21"/>
        <v/>
      </c>
      <c r="IA6" s="17" t="str">
        <f t="shared" si="21"/>
        <v/>
      </c>
    </row>
    <row r="7" spans="1:235" ht="25.95" customHeight="1" x14ac:dyDescent="0.3">
      <c r="A7" s="7">
        <v>2</v>
      </c>
      <c r="B7" s="7">
        <f>Premissas!$B$6</f>
        <v>6</v>
      </c>
      <c r="C7" s="7">
        <f>1*Premissas!$B$8</f>
        <v>12.121212121212123</v>
      </c>
      <c r="D7" s="7">
        <f>C7+Premissas!$B$9</f>
        <v>60.121212121212125</v>
      </c>
      <c r="E7" s="7">
        <f>C7+Premissas!$B$11</f>
        <v>66.121212121212125</v>
      </c>
      <c r="F7" s="7">
        <f>E7+Premissas!$B$8</f>
        <v>78.242424242424249</v>
      </c>
      <c r="G7" s="7">
        <f>Premissas!$B$11</f>
        <v>54</v>
      </c>
      <c r="H7" s="7">
        <f>Premissas!$B$12</f>
        <v>3</v>
      </c>
      <c r="I7" s="7" t="s">
        <v>47</v>
      </c>
      <c r="J7" s="8" t="s">
        <v>48</v>
      </c>
      <c r="K7" s="17" t="str">
        <f t="shared" si="0"/>
        <v/>
      </c>
      <c r="L7" s="17" t="str">
        <f t="shared" si="0"/>
        <v/>
      </c>
      <c r="M7" s="17" t="str">
        <f t="shared" si="0"/>
        <v/>
      </c>
      <c r="N7" s="17" t="str">
        <f t="shared" si="0"/>
        <v/>
      </c>
      <c r="O7" s="17" t="str">
        <f t="shared" si="0"/>
        <v/>
      </c>
      <c r="P7" s="17" t="str">
        <f t="shared" si="0"/>
        <v>R</v>
      </c>
      <c r="Q7" s="17" t="str">
        <f t="shared" si="0"/>
        <v>R</v>
      </c>
      <c r="R7" s="17" t="str">
        <f t="shared" si="0"/>
        <v>R</v>
      </c>
      <c r="S7" s="17" t="str">
        <f t="shared" si="0"/>
        <v>R</v>
      </c>
      <c r="T7" s="17" t="str">
        <f t="shared" si="0"/>
        <v>R</v>
      </c>
      <c r="U7" s="17" t="str">
        <f t="shared" si="1"/>
        <v>R</v>
      </c>
      <c r="V7" s="17" t="str">
        <f t="shared" si="1"/>
        <v>R</v>
      </c>
      <c r="W7" s="17" t="str">
        <f t="shared" si="1"/>
        <v>R</v>
      </c>
      <c r="X7" s="17" t="str">
        <f t="shared" si="1"/>
        <v>R</v>
      </c>
      <c r="Y7" s="17" t="str">
        <f t="shared" si="1"/>
        <v>R</v>
      </c>
      <c r="Z7" s="17" t="str">
        <f t="shared" si="1"/>
        <v>R</v>
      </c>
      <c r="AA7" s="17" t="str">
        <f t="shared" si="1"/>
        <v>R</v>
      </c>
      <c r="AB7" s="17" t="str">
        <f t="shared" si="1"/>
        <v>R</v>
      </c>
      <c r="AC7" s="17" t="str">
        <f t="shared" si="1"/>
        <v>R</v>
      </c>
      <c r="AD7" s="17" t="str">
        <f t="shared" si="1"/>
        <v>R</v>
      </c>
      <c r="AE7" s="17" t="str">
        <f t="shared" si="2"/>
        <v>R</v>
      </c>
      <c r="AF7" s="17" t="str">
        <f t="shared" si="2"/>
        <v>P</v>
      </c>
      <c r="AG7" s="17" t="str">
        <f t="shared" si="2"/>
        <v>P</v>
      </c>
      <c r="AH7" s="17" t="str">
        <f t="shared" si="2"/>
        <v>T</v>
      </c>
      <c r="AI7" s="17" t="str">
        <f t="shared" si="2"/>
        <v>T</v>
      </c>
      <c r="AJ7" s="17" t="str">
        <f t="shared" si="2"/>
        <v>T</v>
      </c>
      <c r="AK7" s="17" t="str">
        <f t="shared" si="2"/>
        <v>T</v>
      </c>
      <c r="AL7" s="17" t="str">
        <f t="shared" si="2"/>
        <v/>
      </c>
      <c r="AM7" s="17" t="str">
        <f t="shared" si="2"/>
        <v/>
      </c>
      <c r="AN7" s="17" t="str">
        <f t="shared" si="2"/>
        <v/>
      </c>
      <c r="AO7" s="17" t="str">
        <f t="shared" si="3"/>
        <v/>
      </c>
      <c r="AP7" s="17" t="str">
        <f t="shared" si="3"/>
        <v/>
      </c>
      <c r="AQ7" s="17" t="str">
        <f t="shared" si="3"/>
        <v/>
      </c>
      <c r="AR7" s="17" t="str">
        <f t="shared" si="3"/>
        <v/>
      </c>
      <c r="AS7" s="17" t="str">
        <f t="shared" si="3"/>
        <v/>
      </c>
      <c r="AT7" s="17" t="str">
        <f t="shared" si="3"/>
        <v/>
      </c>
      <c r="AU7" s="17" t="str">
        <f t="shared" si="3"/>
        <v/>
      </c>
      <c r="AV7" s="17" t="str">
        <f t="shared" si="3"/>
        <v/>
      </c>
      <c r="AW7" s="17" t="str">
        <f t="shared" si="3"/>
        <v/>
      </c>
      <c r="AX7" s="17" t="str">
        <f t="shared" si="3"/>
        <v/>
      </c>
      <c r="AY7" s="17" t="str">
        <f t="shared" si="4"/>
        <v/>
      </c>
      <c r="AZ7" s="17" t="str">
        <f t="shared" si="4"/>
        <v/>
      </c>
      <c r="BA7" s="17" t="str">
        <f t="shared" si="4"/>
        <v/>
      </c>
      <c r="BB7" s="17" t="str">
        <f t="shared" si="4"/>
        <v/>
      </c>
      <c r="BC7" s="17" t="str">
        <f t="shared" si="4"/>
        <v/>
      </c>
      <c r="BD7" s="17" t="str">
        <f t="shared" si="4"/>
        <v/>
      </c>
      <c r="BE7" s="17" t="str">
        <f t="shared" si="4"/>
        <v/>
      </c>
      <c r="BF7" s="17" t="str">
        <f t="shared" si="4"/>
        <v/>
      </c>
      <c r="BG7" s="17" t="str">
        <f t="shared" si="4"/>
        <v/>
      </c>
      <c r="BH7" s="17" t="str">
        <f t="shared" si="4"/>
        <v/>
      </c>
      <c r="BI7" s="17" t="str">
        <f t="shared" si="5"/>
        <v/>
      </c>
      <c r="BJ7" s="17" t="str">
        <f t="shared" si="5"/>
        <v/>
      </c>
      <c r="BK7" s="17" t="str">
        <f t="shared" si="5"/>
        <v/>
      </c>
      <c r="BL7" s="17" t="str">
        <f t="shared" si="5"/>
        <v/>
      </c>
      <c r="BM7" s="17" t="str">
        <f t="shared" si="5"/>
        <v/>
      </c>
      <c r="BN7" s="17" t="str">
        <f t="shared" si="5"/>
        <v/>
      </c>
      <c r="BO7" s="17" t="str">
        <f t="shared" si="5"/>
        <v/>
      </c>
      <c r="BP7" s="17" t="str">
        <f t="shared" si="5"/>
        <v/>
      </c>
      <c r="BQ7" s="17" t="str">
        <f t="shared" si="5"/>
        <v/>
      </c>
      <c r="BR7" s="17" t="str">
        <f t="shared" si="5"/>
        <v/>
      </c>
      <c r="BS7" s="17" t="str">
        <f t="shared" si="6"/>
        <v/>
      </c>
      <c r="BT7" s="17" t="str">
        <f t="shared" si="6"/>
        <v/>
      </c>
      <c r="BU7" s="17" t="str">
        <f t="shared" si="6"/>
        <v/>
      </c>
      <c r="BV7" s="17" t="str">
        <f t="shared" si="6"/>
        <v/>
      </c>
      <c r="BW7" s="17" t="str">
        <f t="shared" si="6"/>
        <v/>
      </c>
      <c r="BX7" s="17" t="str">
        <f t="shared" si="6"/>
        <v/>
      </c>
      <c r="BY7" s="17" t="str">
        <f t="shared" si="6"/>
        <v/>
      </c>
      <c r="BZ7" s="17" t="str">
        <f t="shared" si="6"/>
        <v/>
      </c>
      <c r="CA7" s="17" t="str">
        <f t="shared" si="6"/>
        <v/>
      </c>
      <c r="CB7" s="17" t="str">
        <f t="shared" si="6"/>
        <v/>
      </c>
      <c r="CC7" s="17" t="str">
        <f t="shared" si="7"/>
        <v/>
      </c>
      <c r="CD7" s="17" t="str">
        <f t="shared" si="7"/>
        <v/>
      </c>
      <c r="CE7" s="17" t="str">
        <f t="shared" si="7"/>
        <v/>
      </c>
      <c r="CF7" s="17" t="str">
        <f t="shared" si="7"/>
        <v/>
      </c>
      <c r="CG7" s="17" t="str">
        <f t="shared" si="7"/>
        <v/>
      </c>
      <c r="CH7" s="17" t="str">
        <f t="shared" si="7"/>
        <v/>
      </c>
      <c r="CI7" s="17" t="str">
        <f t="shared" si="7"/>
        <v/>
      </c>
      <c r="CJ7" s="17" t="str">
        <f t="shared" si="7"/>
        <v/>
      </c>
      <c r="CK7" s="17" t="str">
        <f t="shared" si="7"/>
        <v/>
      </c>
      <c r="CL7" s="17" t="str">
        <f t="shared" si="7"/>
        <v/>
      </c>
      <c r="CM7" s="17" t="str">
        <f t="shared" si="8"/>
        <v/>
      </c>
      <c r="CN7" s="17" t="str">
        <f t="shared" si="8"/>
        <v/>
      </c>
      <c r="CO7" s="17" t="str">
        <f t="shared" si="8"/>
        <v/>
      </c>
      <c r="CP7" s="17" t="str">
        <f t="shared" si="8"/>
        <v/>
      </c>
      <c r="CQ7" s="17" t="str">
        <f t="shared" si="8"/>
        <v/>
      </c>
      <c r="CR7" s="17" t="str">
        <f t="shared" si="8"/>
        <v/>
      </c>
      <c r="CS7" s="17" t="str">
        <f t="shared" si="8"/>
        <v/>
      </c>
      <c r="CT7" s="17" t="str">
        <f t="shared" si="8"/>
        <v/>
      </c>
      <c r="CU7" s="17" t="str">
        <f t="shared" si="8"/>
        <v/>
      </c>
      <c r="CV7" s="17" t="str">
        <f t="shared" si="8"/>
        <v/>
      </c>
      <c r="CW7" s="17" t="str">
        <f t="shared" si="9"/>
        <v/>
      </c>
      <c r="CX7" s="17" t="str">
        <f t="shared" si="9"/>
        <v/>
      </c>
      <c r="CY7" s="17" t="str">
        <f t="shared" si="9"/>
        <v/>
      </c>
      <c r="CZ7" s="17" t="str">
        <f t="shared" si="9"/>
        <v/>
      </c>
      <c r="DA7" s="17" t="str">
        <f t="shared" si="9"/>
        <v/>
      </c>
      <c r="DB7" s="17" t="str">
        <f t="shared" si="9"/>
        <v/>
      </c>
      <c r="DC7" s="17" t="str">
        <f t="shared" si="9"/>
        <v/>
      </c>
      <c r="DD7" s="17" t="str">
        <f t="shared" si="9"/>
        <v/>
      </c>
      <c r="DE7" s="17" t="str">
        <f t="shared" si="9"/>
        <v/>
      </c>
      <c r="DF7" s="17" t="str">
        <f t="shared" si="9"/>
        <v/>
      </c>
      <c r="DG7" s="17" t="str">
        <f t="shared" si="10"/>
        <v/>
      </c>
      <c r="DH7" s="17" t="str">
        <f t="shared" si="10"/>
        <v/>
      </c>
      <c r="DI7" s="17" t="str">
        <f t="shared" si="10"/>
        <v/>
      </c>
      <c r="DJ7" s="17" t="str">
        <f t="shared" si="10"/>
        <v/>
      </c>
      <c r="DK7" s="17" t="str">
        <f t="shared" si="10"/>
        <v/>
      </c>
      <c r="DL7" s="17" t="str">
        <f t="shared" si="10"/>
        <v/>
      </c>
      <c r="DM7" s="17" t="str">
        <f t="shared" si="10"/>
        <v/>
      </c>
      <c r="DN7" s="17" t="str">
        <f t="shared" si="10"/>
        <v/>
      </c>
      <c r="DO7" s="17" t="str">
        <f t="shared" si="10"/>
        <v/>
      </c>
      <c r="DP7" s="17" t="str">
        <f t="shared" si="10"/>
        <v/>
      </c>
      <c r="DQ7" s="17" t="str">
        <f t="shared" si="11"/>
        <v/>
      </c>
      <c r="DR7" s="17" t="str">
        <f t="shared" si="11"/>
        <v/>
      </c>
      <c r="DS7" s="17" t="str">
        <f t="shared" si="11"/>
        <v/>
      </c>
      <c r="DT7" s="17" t="str">
        <f t="shared" si="11"/>
        <v/>
      </c>
      <c r="DU7" s="17" t="str">
        <f t="shared" si="11"/>
        <v/>
      </c>
      <c r="DV7" s="17" t="str">
        <f t="shared" si="11"/>
        <v/>
      </c>
      <c r="DW7" s="17" t="str">
        <f t="shared" si="11"/>
        <v/>
      </c>
      <c r="DX7" s="17" t="str">
        <f t="shared" si="11"/>
        <v/>
      </c>
      <c r="DY7" s="17" t="str">
        <f t="shared" si="11"/>
        <v/>
      </c>
      <c r="DZ7" s="17" t="str">
        <f t="shared" si="11"/>
        <v/>
      </c>
      <c r="EA7" s="17" t="str">
        <f t="shared" si="12"/>
        <v/>
      </c>
      <c r="EB7" s="17" t="str">
        <f t="shared" si="12"/>
        <v/>
      </c>
      <c r="EC7" s="17" t="str">
        <f t="shared" si="12"/>
        <v/>
      </c>
      <c r="ED7" s="17" t="str">
        <f t="shared" si="12"/>
        <v/>
      </c>
      <c r="EE7" s="17" t="str">
        <f t="shared" si="12"/>
        <v/>
      </c>
      <c r="EF7" s="17" t="str">
        <f t="shared" si="12"/>
        <v/>
      </c>
      <c r="EG7" s="17" t="str">
        <f t="shared" si="12"/>
        <v/>
      </c>
      <c r="EH7" s="17" t="str">
        <f t="shared" si="12"/>
        <v/>
      </c>
      <c r="EI7" s="17" t="str">
        <f t="shared" si="12"/>
        <v/>
      </c>
      <c r="EJ7" s="17" t="str">
        <f t="shared" si="12"/>
        <v/>
      </c>
      <c r="EK7" s="17" t="str">
        <f t="shared" si="13"/>
        <v/>
      </c>
      <c r="EL7" s="17" t="str">
        <f t="shared" si="13"/>
        <v/>
      </c>
      <c r="EM7" s="17" t="str">
        <f t="shared" si="13"/>
        <v/>
      </c>
      <c r="EN7" s="17" t="str">
        <f t="shared" si="13"/>
        <v/>
      </c>
      <c r="EO7" s="17" t="str">
        <f t="shared" si="13"/>
        <v/>
      </c>
      <c r="EP7" s="17" t="str">
        <f t="shared" si="13"/>
        <v/>
      </c>
      <c r="EQ7" s="17" t="str">
        <f t="shared" si="13"/>
        <v/>
      </c>
      <c r="ER7" s="17" t="str">
        <f t="shared" si="13"/>
        <v/>
      </c>
      <c r="ES7" s="17" t="str">
        <f t="shared" si="13"/>
        <v/>
      </c>
      <c r="ET7" s="17" t="str">
        <f t="shared" si="13"/>
        <v/>
      </c>
      <c r="EU7" s="17" t="str">
        <f t="shared" si="14"/>
        <v/>
      </c>
      <c r="EV7" s="17" t="str">
        <f t="shared" si="14"/>
        <v/>
      </c>
      <c r="EW7" s="17" t="str">
        <f t="shared" si="14"/>
        <v/>
      </c>
      <c r="EX7" s="17" t="str">
        <f t="shared" si="14"/>
        <v/>
      </c>
      <c r="EY7" s="17" t="str">
        <f t="shared" si="14"/>
        <v/>
      </c>
      <c r="EZ7" s="17" t="str">
        <f t="shared" si="14"/>
        <v/>
      </c>
      <c r="FA7" s="17" t="str">
        <f t="shared" si="14"/>
        <v/>
      </c>
      <c r="FB7" s="17" t="str">
        <f t="shared" si="14"/>
        <v/>
      </c>
      <c r="FC7" s="17" t="str">
        <f t="shared" si="14"/>
        <v/>
      </c>
      <c r="FD7" s="17" t="str">
        <f t="shared" si="14"/>
        <v/>
      </c>
      <c r="FE7" s="17" t="str">
        <f t="shared" si="15"/>
        <v/>
      </c>
      <c r="FF7" s="17" t="str">
        <f t="shared" si="15"/>
        <v/>
      </c>
      <c r="FG7" s="17" t="str">
        <f t="shared" si="15"/>
        <v/>
      </c>
      <c r="FH7" s="17" t="str">
        <f t="shared" si="15"/>
        <v/>
      </c>
      <c r="FI7" s="17" t="str">
        <f t="shared" si="15"/>
        <v/>
      </c>
      <c r="FJ7" s="17" t="str">
        <f t="shared" si="15"/>
        <v/>
      </c>
      <c r="FK7" s="17" t="str">
        <f t="shared" si="15"/>
        <v/>
      </c>
      <c r="FL7" s="17" t="str">
        <f t="shared" si="15"/>
        <v/>
      </c>
      <c r="FM7" s="17" t="str">
        <f t="shared" si="15"/>
        <v/>
      </c>
      <c r="FN7" s="17" t="str">
        <f t="shared" si="15"/>
        <v/>
      </c>
      <c r="FO7" s="17" t="str">
        <f t="shared" si="16"/>
        <v/>
      </c>
      <c r="FP7" s="17" t="str">
        <f t="shared" si="16"/>
        <v/>
      </c>
      <c r="FQ7" s="17" t="str">
        <f t="shared" si="16"/>
        <v/>
      </c>
      <c r="FR7" s="17" t="str">
        <f t="shared" si="16"/>
        <v/>
      </c>
      <c r="FS7" s="17" t="str">
        <f t="shared" si="16"/>
        <v/>
      </c>
      <c r="FT7" s="17" t="str">
        <f t="shared" si="16"/>
        <v/>
      </c>
      <c r="FU7" s="17" t="str">
        <f t="shared" si="16"/>
        <v/>
      </c>
      <c r="FV7" s="17" t="str">
        <f t="shared" si="16"/>
        <v/>
      </c>
      <c r="FW7" s="17" t="str">
        <f t="shared" si="16"/>
        <v/>
      </c>
      <c r="FX7" s="17" t="str">
        <f t="shared" si="16"/>
        <v/>
      </c>
      <c r="FY7" s="17" t="str">
        <f t="shared" si="17"/>
        <v/>
      </c>
      <c r="FZ7" s="17" t="str">
        <f t="shared" si="17"/>
        <v/>
      </c>
      <c r="GA7" s="17" t="str">
        <f t="shared" si="17"/>
        <v/>
      </c>
      <c r="GB7" s="17" t="str">
        <f t="shared" si="17"/>
        <v/>
      </c>
      <c r="GC7" s="17" t="str">
        <f t="shared" si="17"/>
        <v/>
      </c>
      <c r="GD7" s="17" t="str">
        <f t="shared" si="17"/>
        <v/>
      </c>
      <c r="GE7" s="17" t="str">
        <f t="shared" si="17"/>
        <v/>
      </c>
      <c r="GF7" s="17" t="str">
        <f t="shared" si="17"/>
        <v/>
      </c>
      <c r="GG7" s="17" t="str">
        <f t="shared" si="17"/>
        <v/>
      </c>
      <c r="GH7" s="17" t="str">
        <f t="shared" si="17"/>
        <v/>
      </c>
      <c r="GI7" s="17" t="str">
        <f t="shared" si="18"/>
        <v/>
      </c>
      <c r="GJ7" s="17" t="str">
        <f t="shared" si="18"/>
        <v/>
      </c>
      <c r="GK7" s="17" t="str">
        <f t="shared" si="18"/>
        <v/>
      </c>
      <c r="GL7" s="17" t="str">
        <f t="shared" si="18"/>
        <v/>
      </c>
      <c r="GM7" s="17" t="str">
        <f t="shared" si="18"/>
        <v/>
      </c>
      <c r="GN7" s="17" t="str">
        <f t="shared" si="18"/>
        <v/>
      </c>
      <c r="GO7" s="17" t="str">
        <f t="shared" si="18"/>
        <v/>
      </c>
      <c r="GP7" s="17" t="str">
        <f t="shared" si="18"/>
        <v/>
      </c>
      <c r="GQ7" s="17" t="str">
        <f t="shared" si="18"/>
        <v/>
      </c>
      <c r="GR7" s="17" t="str">
        <f t="shared" si="18"/>
        <v/>
      </c>
      <c r="GS7" s="17" t="str">
        <f t="shared" si="19"/>
        <v/>
      </c>
      <c r="GT7" s="17" t="str">
        <f t="shared" si="19"/>
        <v/>
      </c>
      <c r="GU7" s="17" t="str">
        <f t="shared" si="19"/>
        <v/>
      </c>
      <c r="GV7" s="17" t="str">
        <f t="shared" si="19"/>
        <v/>
      </c>
      <c r="GW7" s="17" t="str">
        <f t="shared" si="19"/>
        <v/>
      </c>
      <c r="GX7" s="17" t="str">
        <f t="shared" si="19"/>
        <v/>
      </c>
      <c r="GY7" s="17" t="str">
        <f t="shared" si="19"/>
        <v/>
      </c>
      <c r="GZ7" s="17" t="str">
        <f t="shared" si="19"/>
        <v/>
      </c>
      <c r="HA7" s="17" t="str">
        <f t="shared" si="19"/>
        <v/>
      </c>
      <c r="HB7" s="17" t="str">
        <f t="shared" si="19"/>
        <v/>
      </c>
      <c r="HC7" s="17" t="str">
        <f t="shared" si="20"/>
        <v/>
      </c>
      <c r="HD7" s="17" t="str">
        <f t="shared" si="20"/>
        <v/>
      </c>
      <c r="HE7" s="17" t="str">
        <f t="shared" si="20"/>
        <v/>
      </c>
      <c r="HF7" s="17" t="str">
        <f t="shared" si="20"/>
        <v/>
      </c>
      <c r="HG7" s="17" t="str">
        <f t="shared" si="20"/>
        <v/>
      </c>
      <c r="HH7" s="17" t="str">
        <f t="shared" si="20"/>
        <v/>
      </c>
      <c r="HI7" s="17" t="str">
        <f t="shared" si="20"/>
        <v/>
      </c>
      <c r="HJ7" s="17" t="str">
        <f t="shared" si="20"/>
        <v/>
      </c>
      <c r="HK7" s="17" t="str">
        <f t="shared" si="20"/>
        <v/>
      </c>
      <c r="HL7" s="17" t="str">
        <f t="shared" si="20"/>
        <v/>
      </c>
      <c r="HM7" s="17" t="str">
        <f t="shared" si="21"/>
        <v/>
      </c>
      <c r="HN7" s="17" t="str">
        <f t="shared" si="21"/>
        <v/>
      </c>
      <c r="HO7" s="17" t="str">
        <f t="shared" si="21"/>
        <v/>
      </c>
      <c r="HP7" s="17" t="str">
        <f t="shared" si="21"/>
        <v/>
      </c>
      <c r="HQ7" s="17" t="str">
        <f t="shared" si="21"/>
        <v/>
      </c>
      <c r="HR7" s="17" t="str">
        <f t="shared" si="21"/>
        <v/>
      </c>
      <c r="HS7" s="17" t="str">
        <f t="shared" si="21"/>
        <v/>
      </c>
      <c r="HT7" s="17" t="str">
        <f t="shared" si="21"/>
        <v/>
      </c>
      <c r="HU7" s="17" t="str">
        <f t="shared" si="21"/>
        <v/>
      </c>
      <c r="HV7" s="17" t="str">
        <f t="shared" si="21"/>
        <v/>
      </c>
      <c r="HW7" s="17" t="str">
        <f t="shared" si="21"/>
        <v/>
      </c>
      <c r="HX7" s="17" t="str">
        <f t="shared" si="21"/>
        <v/>
      </c>
      <c r="HY7" s="17" t="str">
        <f t="shared" si="21"/>
        <v/>
      </c>
      <c r="HZ7" s="17" t="str">
        <f t="shared" si="21"/>
        <v/>
      </c>
      <c r="IA7" s="17" t="str">
        <f t="shared" si="21"/>
        <v/>
      </c>
    </row>
    <row r="8" spans="1:235" ht="25.95" customHeight="1" x14ac:dyDescent="0.3">
      <c r="A8" s="7">
        <v>3</v>
      </c>
      <c r="B8" s="7">
        <f>Premissas!$B$6</f>
        <v>6</v>
      </c>
      <c r="C8" s="7">
        <f>2*Premissas!$B$8</f>
        <v>24.242424242424246</v>
      </c>
      <c r="D8" s="7">
        <f>C8+Premissas!$B$9</f>
        <v>72.242424242424249</v>
      </c>
      <c r="E8" s="7">
        <f>C8+Premissas!$B$11</f>
        <v>78.242424242424249</v>
      </c>
      <c r="F8" s="7">
        <f>E8+Premissas!$B$8</f>
        <v>90.363636363636374</v>
      </c>
      <c r="G8" s="7">
        <f>Premissas!$B$11</f>
        <v>54</v>
      </c>
      <c r="H8" s="7">
        <f>Premissas!$B$12</f>
        <v>3</v>
      </c>
      <c r="I8" s="7" t="s">
        <v>47</v>
      </c>
      <c r="J8" s="8" t="s">
        <v>48</v>
      </c>
      <c r="K8" s="17" t="str">
        <f t="shared" si="0"/>
        <v/>
      </c>
      <c r="L8" s="17" t="str">
        <f t="shared" si="0"/>
        <v/>
      </c>
      <c r="M8" s="17" t="str">
        <f t="shared" si="0"/>
        <v/>
      </c>
      <c r="N8" s="17" t="str">
        <f t="shared" si="0"/>
        <v/>
      </c>
      <c r="O8" s="17" t="str">
        <f t="shared" si="0"/>
        <v/>
      </c>
      <c r="P8" s="17" t="str">
        <f t="shared" si="0"/>
        <v/>
      </c>
      <c r="Q8" s="17" t="str">
        <f t="shared" si="0"/>
        <v/>
      </c>
      <c r="R8" s="17" t="str">
        <f t="shared" si="0"/>
        <v/>
      </c>
      <c r="S8" s="17" t="str">
        <f t="shared" si="0"/>
        <v/>
      </c>
      <c r="T8" s="17" t="str">
        <f t="shared" si="0"/>
        <v>R</v>
      </c>
      <c r="U8" s="17" t="str">
        <f t="shared" si="1"/>
        <v>R</v>
      </c>
      <c r="V8" s="17" t="str">
        <f t="shared" si="1"/>
        <v>R</v>
      </c>
      <c r="W8" s="17" t="str">
        <f t="shared" si="1"/>
        <v>R</v>
      </c>
      <c r="X8" s="17" t="str">
        <f t="shared" si="1"/>
        <v>R</v>
      </c>
      <c r="Y8" s="17" t="str">
        <f t="shared" si="1"/>
        <v>R</v>
      </c>
      <c r="Z8" s="17" t="str">
        <f t="shared" si="1"/>
        <v>R</v>
      </c>
      <c r="AA8" s="17" t="str">
        <f t="shared" si="1"/>
        <v>R</v>
      </c>
      <c r="AB8" s="17" t="str">
        <f t="shared" si="1"/>
        <v>R</v>
      </c>
      <c r="AC8" s="17" t="str">
        <f t="shared" si="1"/>
        <v>R</v>
      </c>
      <c r="AD8" s="17" t="str">
        <f t="shared" si="1"/>
        <v>R</v>
      </c>
      <c r="AE8" s="17" t="str">
        <f t="shared" si="2"/>
        <v>R</v>
      </c>
      <c r="AF8" s="17" t="str">
        <f t="shared" si="2"/>
        <v>R</v>
      </c>
      <c r="AG8" s="17" t="str">
        <f t="shared" si="2"/>
        <v>R</v>
      </c>
      <c r="AH8" s="17" t="str">
        <f t="shared" si="2"/>
        <v>R</v>
      </c>
      <c r="AI8" s="17" t="str">
        <f t="shared" si="2"/>
        <v>R</v>
      </c>
      <c r="AJ8" s="17" t="str">
        <f t="shared" si="2"/>
        <v>P</v>
      </c>
      <c r="AK8" s="17" t="str">
        <f t="shared" si="2"/>
        <v>P</v>
      </c>
      <c r="AL8" s="17" t="str">
        <f t="shared" si="2"/>
        <v>T</v>
      </c>
      <c r="AM8" s="17" t="str">
        <f t="shared" si="2"/>
        <v>T</v>
      </c>
      <c r="AN8" s="17" t="str">
        <f t="shared" si="2"/>
        <v>T</v>
      </c>
      <c r="AO8" s="17" t="str">
        <f t="shared" si="3"/>
        <v>T</v>
      </c>
      <c r="AP8" s="17" t="str">
        <f t="shared" si="3"/>
        <v/>
      </c>
      <c r="AQ8" s="17" t="str">
        <f t="shared" si="3"/>
        <v/>
      </c>
      <c r="AR8" s="17" t="str">
        <f t="shared" si="3"/>
        <v/>
      </c>
      <c r="AS8" s="17" t="str">
        <f t="shared" si="3"/>
        <v/>
      </c>
      <c r="AT8" s="17" t="str">
        <f t="shared" si="3"/>
        <v/>
      </c>
      <c r="AU8" s="17" t="str">
        <f t="shared" si="3"/>
        <v/>
      </c>
      <c r="AV8" s="17" t="str">
        <f t="shared" si="3"/>
        <v/>
      </c>
      <c r="AW8" s="17" t="str">
        <f t="shared" si="3"/>
        <v/>
      </c>
      <c r="AX8" s="17" t="str">
        <f t="shared" si="3"/>
        <v/>
      </c>
      <c r="AY8" s="17" t="str">
        <f t="shared" si="4"/>
        <v/>
      </c>
      <c r="AZ8" s="17" t="str">
        <f t="shared" si="4"/>
        <v/>
      </c>
      <c r="BA8" s="17" t="str">
        <f t="shared" si="4"/>
        <v/>
      </c>
      <c r="BB8" s="17" t="str">
        <f t="shared" si="4"/>
        <v/>
      </c>
      <c r="BC8" s="17" t="str">
        <f t="shared" si="4"/>
        <v/>
      </c>
      <c r="BD8" s="17" t="str">
        <f t="shared" si="4"/>
        <v/>
      </c>
      <c r="BE8" s="17" t="str">
        <f t="shared" si="4"/>
        <v/>
      </c>
      <c r="BF8" s="17" t="str">
        <f t="shared" si="4"/>
        <v/>
      </c>
      <c r="BG8" s="17" t="str">
        <f t="shared" si="4"/>
        <v/>
      </c>
      <c r="BH8" s="17" t="str">
        <f t="shared" si="4"/>
        <v/>
      </c>
      <c r="BI8" s="17" t="str">
        <f t="shared" si="5"/>
        <v/>
      </c>
      <c r="BJ8" s="17" t="str">
        <f t="shared" si="5"/>
        <v/>
      </c>
      <c r="BK8" s="17" t="str">
        <f t="shared" si="5"/>
        <v/>
      </c>
      <c r="BL8" s="17" t="str">
        <f t="shared" si="5"/>
        <v/>
      </c>
      <c r="BM8" s="17" t="str">
        <f t="shared" si="5"/>
        <v/>
      </c>
      <c r="BN8" s="17" t="str">
        <f t="shared" si="5"/>
        <v/>
      </c>
      <c r="BO8" s="17" t="str">
        <f t="shared" si="5"/>
        <v/>
      </c>
      <c r="BP8" s="17" t="str">
        <f t="shared" si="5"/>
        <v/>
      </c>
      <c r="BQ8" s="17" t="str">
        <f t="shared" si="5"/>
        <v/>
      </c>
      <c r="BR8" s="17" t="str">
        <f t="shared" si="5"/>
        <v/>
      </c>
      <c r="BS8" s="17" t="str">
        <f t="shared" si="6"/>
        <v/>
      </c>
      <c r="BT8" s="17" t="str">
        <f t="shared" si="6"/>
        <v/>
      </c>
      <c r="BU8" s="17" t="str">
        <f t="shared" si="6"/>
        <v/>
      </c>
      <c r="BV8" s="17" t="str">
        <f t="shared" si="6"/>
        <v/>
      </c>
      <c r="BW8" s="17" t="str">
        <f t="shared" si="6"/>
        <v/>
      </c>
      <c r="BX8" s="17" t="str">
        <f t="shared" si="6"/>
        <v/>
      </c>
      <c r="BY8" s="17" t="str">
        <f t="shared" si="6"/>
        <v/>
      </c>
      <c r="BZ8" s="17" t="str">
        <f t="shared" si="6"/>
        <v/>
      </c>
      <c r="CA8" s="17" t="str">
        <f t="shared" si="6"/>
        <v/>
      </c>
      <c r="CB8" s="17" t="str">
        <f t="shared" si="6"/>
        <v/>
      </c>
      <c r="CC8" s="17" t="str">
        <f t="shared" si="7"/>
        <v/>
      </c>
      <c r="CD8" s="17" t="str">
        <f t="shared" si="7"/>
        <v/>
      </c>
      <c r="CE8" s="17" t="str">
        <f t="shared" si="7"/>
        <v/>
      </c>
      <c r="CF8" s="17" t="str">
        <f t="shared" si="7"/>
        <v/>
      </c>
      <c r="CG8" s="17" t="str">
        <f t="shared" si="7"/>
        <v/>
      </c>
      <c r="CH8" s="17" t="str">
        <f t="shared" si="7"/>
        <v/>
      </c>
      <c r="CI8" s="17" t="str">
        <f t="shared" si="7"/>
        <v/>
      </c>
      <c r="CJ8" s="17" t="str">
        <f t="shared" si="7"/>
        <v/>
      </c>
      <c r="CK8" s="17" t="str">
        <f t="shared" si="7"/>
        <v/>
      </c>
      <c r="CL8" s="17" t="str">
        <f t="shared" si="7"/>
        <v/>
      </c>
      <c r="CM8" s="17" t="str">
        <f t="shared" si="8"/>
        <v/>
      </c>
      <c r="CN8" s="17" t="str">
        <f t="shared" si="8"/>
        <v/>
      </c>
      <c r="CO8" s="17" t="str">
        <f t="shared" si="8"/>
        <v/>
      </c>
      <c r="CP8" s="17" t="str">
        <f t="shared" si="8"/>
        <v/>
      </c>
      <c r="CQ8" s="17" t="str">
        <f t="shared" si="8"/>
        <v/>
      </c>
      <c r="CR8" s="17" t="str">
        <f t="shared" si="8"/>
        <v/>
      </c>
      <c r="CS8" s="17" t="str">
        <f t="shared" si="8"/>
        <v/>
      </c>
      <c r="CT8" s="17" t="str">
        <f t="shared" si="8"/>
        <v/>
      </c>
      <c r="CU8" s="17" t="str">
        <f t="shared" si="8"/>
        <v/>
      </c>
      <c r="CV8" s="17" t="str">
        <f t="shared" si="8"/>
        <v/>
      </c>
      <c r="CW8" s="17" t="str">
        <f t="shared" si="9"/>
        <v/>
      </c>
      <c r="CX8" s="17" t="str">
        <f t="shared" si="9"/>
        <v/>
      </c>
      <c r="CY8" s="17" t="str">
        <f t="shared" si="9"/>
        <v/>
      </c>
      <c r="CZ8" s="17" t="str">
        <f t="shared" si="9"/>
        <v/>
      </c>
      <c r="DA8" s="17" t="str">
        <f t="shared" si="9"/>
        <v/>
      </c>
      <c r="DB8" s="17" t="str">
        <f t="shared" si="9"/>
        <v/>
      </c>
      <c r="DC8" s="17" t="str">
        <f t="shared" si="9"/>
        <v/>
      </c>
      <c r="DD8" s="17" t="str">
        <f t="shared" si="9"/>
        <v/>
      </c>
      <c r="DE8" s="17" t="str">
        <f t="shared" si="9"/>
        <v/>
      </c>
      <c r="DF8" s="17" t="str">
        <f t="shared" si="9"/>
        <v/>
      </c>
      <c r="DG8" s="17" t="str">
        <f t="shared" si="10"/>
        <v/>
      </c>
      <c r="DH8" s="17" t="str">
        <f t="shared" si="10"/>
        <v/>
      </c>
      <c r="DI8" s="17" t="str">
        <f t="shared" si="10"/>
        <v/>
      </c>
      <c r="DJ8" s="17" t="str">
        <f t="shared" si="10"/>
        <v/>
      </c>
      <c r="DK8" s="17" t="str">
        <f t="shared" si="10"/>
        <v/>
      </c>
      <c r="DL8" s="17" t="str">
        <f t="shared" si="10"/>
        <v/>
      </c>
      <c r="DM8" s="17" t="str">
        <f t="shared" si="10"/>
        <v/>
      </c>
      <c r="DN8" s="17" t="str">
        <f t="shared" si="10"/>
        <v/>
      </c>
      <c r="DO8" s="17" t="str">
        <f t="shared" si="10"/>
        <v/>
      </c>
      <c r="DP8" s="17" t="str">
        <f t="shared" si="10"/>
        <v/>
      </c>
      <c r="DQ8" s="17" t="str">
        <f t="shared" si="11"/>
        <v/>
      </c>
      <c r="DR8" s="17" t="str">
        <f t="shared" si="11"/>
        <v/>
      </c>
      <c r="DS8" s="17" t="str">
        <f t="shared" si="11"/>
        <v/>
      </c>
      <c r="DT8" s="17" t="str">
        <f t="shared" si="11"/>
        <v/>
      </c>
      <c r="DU8" s="17" t="str">
        <f t="shared" si="11"/>
        <v/>
      </c>
      <c r="DV8" s="17" t="str">
        <f t="shared" si="11"/>
        <v/>
      </c>
      <c r="DW8" s="17" t="str">
        <f t="shared" si="11"/>
        <v/>
      </c>
      <c r="DX8" s="17" t="str">
        <f t="shared" si="11"/>
        <v/>
      </c>
      <c r="DY8" s="17" t="str">
        <f t="shared" si="11"/>
        <v/>
      </c>
      <c r="DZ8" s="17" t="str">
        <f t="shared" si="11"/>
        <v/>
      </c>
      <c r="EA8" s="17" t="str">
        <f t="shared" si="12"/>
        <v/>
      </c>
      <c r="EB8" s="17" t="str">
        <f t="shared" si="12"/>
        <v/>
      </c>
      <c r="EC8" s="17" t="str">
        <f t="shared" si="12"/>
        <v/>
      </c>
      <c r="ED8" s="17" t="str">
        <f t="shared" si="12"/>
        <v/>
      </c>
      <c r="EE8" s="17" t="str">
        <f t="shared" si="12"/>
        <v/>
      </c>
      <c r="EF8" s="17" t="str">
        <f t="shared" si="12"/>
        <v/>
      </c>
      <c r="EG8" s="17" t="str">
        <f t="shared" si="12"/>
        <v/>
      </c>
      <c r="EH8" s="17" t="str">
        <f t="shared" si="12"/>
        <v/>
      </c>
      <c r="EI8" s="17" t="str">
        <f t="shared" si="12"/>
        <v/>
      </c>
      <c r="EJ8" s="17" t="str">
        <f t="shared" si="12"/>
        <v/>
      </c>
      <c r="EK8" s="17" t="str">
        <f t="shared" si="13"/>
        <v/>
      </c>
      <c r="EL8" s="17" t="str">
        <f t="shared" si="13"/>
        <v/>
      </c>
      <c r="EM8" s="17" t="str">
        <f t="shared" si="13"/>
        <v/>
      </c>
      <c r="EN8" s="17" t="str">
        <f t="shared" si="13"/>
        <v/>
      </c>
      <c r="EO8" s="17" t="str">
        <f t="shared" si="13"/>
        <v/>
      </c>
      <c r="EP8" s="17" t="str">
        <f t="shared" si="13"/>
        <v/>
      </c>
      <c r="EQ8" s="17" t="str">
        <f t="shared" si="13"/>
        <v/>
      </c>
      <c r="ER8" s="17" t="str">
        <f t="shared" si="13"/>
        <v/>
      </c>
      <c r="ES8" s="17" t="str">
        <f t="shared" si="13"/>
        <v/>
      </c>
      <c r="ET8" s="17" t="str">
        <f t="shared" si="13"/>
        <v/>
      </c>
      <c r="EU8" s="17" t="str">
        <f t="shared" si="14"/>
        <v/>
      </c>
      <c r="EV8" s="17" t="str">
        <f t="shared" si="14"/>
        <v/>
      </c>
      <c r="EW8" s="17" t="str">
        <f t="shared" si="14"/>
        <v/>
      </c>
      <c r="EX8" s="17" t="str">
        <f t="shared" si="14"/>
        <v/>
      </c>
      <c r="EY8" s="17" t="str">
        <f t="shared" si="14"/>
        <v/>
      </c>
      <c r="EZ8" s="17" t="str">
        <f t="shared" si="14"/>
        <v/>
      </c>
      <c r="FA8" s="17" t="str">
        <f t="shared" si="14"/>
        <v/>
      </c>
      <c r="FB8" s="17" t="str">
        <f t="shared" si="14"/>
        <v/>
      </c>
      <c r="FC8" s="17" t="str">
        <f t="shared" si="14"/>
        <v/>
      </c>
      <c r="FD8" s="17" t="str">
        <f t="shared" si="14"/>
        <v/>
      </c>
      <c r="FE8" s="17" t="str">
        <f t="shared" si="15"/>
        <v/>
      </c>
      <c r="FF8" s="17" t="str">
        <f t="shared" si="15"/>
        <v/>
      </c>
      <c r="FG8" s="17" t="str">
        <f t="shared" si="15"/>
        <v/>
      </c>
      <c r="FH8" s="17" t="str">
        <f t="shared" si="15"/>
        <v/>
      </c>
      <c r="FI8" s="17" t="str">
        <f t="shared" si="15"/>
        <v/>
      </c>
      <c r="FJ8" s="17" t="str">
        <f t="shared" si="15"/>
        <v/>
      </c>
      <c r="FK8" s="17" t="str">
        <f t="shared" si="15"/>
        <v/>
      </c>
      <c r="FL8" s="17" t="str">
        <f t="shared" si="15"/>
        <v/>
      </c>
      <c r="FM8" s="17" t="str">
        <f t="shared" si="15"/>
        <v/>
      </c>
      <c r="FN8" s="17" t="str">
        <f t="shared" si="15"/>
        <v/>
      </c>
      <c r="FO8" s="17" t="str">
        <f t="shared" si="16"/>
        <v/>
      </c>
      <c r="FP8" s="17" t="str">
        <f t="shared" si="16"/>
        <v/>
      </c>
      <c r="FQ8" s="17" t="str">
        <f t="shared" si="16"/>
        <v/>
      </c>
      <c r="FR8" s="17" t="str">
        <f t="shared" si="16"/>
        <v/>
      </c>
      <c r="FS8" s="17" t="str">
        <f t="shared" si="16"/>
        <v/>
      </c>
      <c r="FT8" s="17" t="str">
        <f t="shared" si="16"/>
        <v/>
      </c>
      <c r="FU8" s="17" t="str">
        <f t="shared" si="16"/>
        <v/>
      </c>
      <c r="FV8" s="17" t="str">
        <f t="shared" si="16"/>
        <v/>
      </c>
      <c r="FW8" s="17" t="str">
        <f t="shared" si="16"/>
        <v/>
      </c>
      <c r="FX8" s="17" t="str">
        <f t="shared" si="16"/>
        <v/>
      </c>
      <c r="FY8" s="17" t="str">
        <f t="shared" si="17"/>
        <v/>
      </c>
      <c r="FZ8" s="17" t="str">
        <f t="shared" si="17"/>
        <v/>
      </c>
      <c r="GA8" s="17" t="str">
        <f t="shared" si="17"/>
        <v/>
      </c>
      <c r="GB8" s="17" t="str">
        <f t="shared" si="17"/>
        <v/>
      </c>
      <c r="GC8" s="17" t="str">
        <f t="shared" si="17"/>
        <v/>
      </c>
      <c r="GD8" s="17" t="str">
        <f t="shared" si="17"/>
        <v/>
      </c>
      <c r="GE8" s="17" t="str">
        <f t="shared" si="17"/>
        <v/>
      </c>
      <c r="GF8" s="17" t="str">
        <f t="shared" si="17"/>
        <v/>
      </c>
      <c r="GG8" s="17" t="str">
        <f t="shared" si="17"/>
        <v/>
      </c>
      <c r="GH8" s="17" t="str">
        <f t="shared" si="17"/>
        <v/>
      </c>
      <c r="GI8" s="17" t="str">
        <f t="shared" si="18"/>
        <v/>
      </c>
      <c r="GJ8" s="17" t="str">
        <f t="shared" si="18"/>
        <v/>
      </c>
      <c r="GK8" s="17" t="str">
        <f t="shared" si="18"/>
        <v/>
      </c>
      <c r="GL8" s="17" t="str">
        <f t="shared" si="18"/>
        <v/>
      </c>
      <c r="GM8" s="17" t="str">
        <f t="shared" si="18"/>
        <v/>
      </c>
      <c r="GN8" s="17" t="str">
        <f t="shared" si="18"/>
        <v/>
      </c>
      <c r="GO8" s="17" t="str">
        <f t="shared" si="18"/>
        <v/>
      </c>
      <c r="GP8" s="17" t="str">
        <f t="shared" si="18"/>
        <v/>
      </c>
      <c r="GQ8" s="17" t="str">
        <f t="shared" si="18"/>
        <v/>
      </c>
      <c r="GR8" s="17" t="str">
        <f t="shared" si="18"/>
        <v/>
      </c>
      <c r="GS8" s="17" t="str">
        <f t="shared" si="19"/>
        <v/>
      </c>
      <c r="GT8" s="17" t="str">
        <f t="shared" si="19"/>
        <v/>
      </c>
      <c r="GU8" s="17" t="str">
        <f t="shared" si="19"/>
        <v/>
      </c>
      <c r="GV8" s="17" t="str">
        <f t="shared" si="19"/>
        <v/>
      </c>
      <c r="GW8" s="17" t="str">
        <f t="shared" si="19"/>
        <v/>
      </c>
      <c r="GX8" s="17" t="str">
        <f t="shared" si="19"/>
        <v/>
      </c>
      <c r="GY8" s="17" t="str">
        <f t="shared" si="19"/>
        <v/>
      </c>
      <c r="GZ8" s="17" t="str">
        <f t="shared" si="19"/>
        <v/>
      </c>
      <c r="HA8" s="17" t="str">
        <f t="shared" si="19"/>
        <v/>
      </c>
      <c r="HB8" s="17" t="str">
        <f t="shared" si="19"/>
        <v/>
      </c>
      <c r="HC8" s="17" t="str">
        <f t="shared" si="20"/>
        <v/>
      </c>
      <c r="HD8" s="17" t="str">
        <f t="shared" si="20"/>
        <v/>
      </c>
      <c r="HE8" s="17" t="str">
        <f t="shared" si="20"/>
        <v/>
      </c>
      <c r="HF8" s="17" t="str">
        <f t="shared" si="20"/>
        <v/>
      </c>
      <c r="HG8" s="17" t="str">
        <f t="shared" si="20"/>
        <v/>
      </c>
      <c r="HH8" s="17" t="str">
        <f t="shared" si="20"/>
        <v/>
      </c>
      <c r="HI8" s="17" t="str">
        <f t="shared" si="20"/>
        <v/>
      </c>
      <c r="HJ8" s="17" t="str">
        <f t="shared" si="20"/>
        <v/>
      </c>
      <c r="HK8" s="17" t="str">
        <f t="shared" si="20"/>
        <v/>
      </c>
      <c r="HL8" s="17" t="str">
        <f t="shared" si="20"/>
        <v/>
      </c>
      <c r="HM8" s="17" t="str">
        <f t="shared" si="21"/>
        <v/>
      </c>
      <c r="HN8" s="17" t="str">
        <f t="shared" si="21"/>
        <v/>
      </c>
      <c r="HO8" s="17" t="str">
        <f t="shared" si="21"/>
        <v/>
      </c>
      <c r="HP8" s="17" t="str">
        <f t="shared" si="21"/>
        <v/>
      </c>
      <c r="HQ8" s="17" t="str">
        <f t="shared" si="21"/>
        <v/>
      </c>
      <c r="HR8" s="17" t="str">
        <f t="shared" si="21"/>
        <v/>
      </c>
      <c r="HS8" s="17" t="str">
        <f t="shared" si="21"/>
        <v/>
      </c>
      <c r="HT8" s="17" t="str">
        <f t="shared" si="21"/>
        <v/>
      </c>
      <c r="HU8" s="17" t="str">
        <f t="shared" si="21"/>
        <v/>
      </c>
      <c r="HV8" s="17" t="str">
        <f t="shared" si="21"/>
        <v/>
      </c>
      <c r="HW8" s="17" t="str">
        <f t="shared" si="21"/>
        <v/>
      </c>
      <c r="HX8" s="17" t="str">
        <f t="shared" si="21"/>
        <v/>
      </c>
      <c r="HY8" s="17" t="str">
        <f t="shared" si="21"/>
        <v/>
      </c>
      <c r="HZ8" s="17" t="str">
        <f t="shared" si="21"/>
        <v/>
      </c>
      <c r="IA8" s="17" t="str">
        <f t="shared" si="21"/>
        <v/>
      </c>
    </row>
    <row r="9" spans="1:235" ht="25.95" customHeight="1" x14ac:dyDescent="0.3">
      <c r="A9" s="7">
        <v>4</v>
      </c>
      <c r="B9" s="7">
        <f>Premissas!$B$6</f>
        <v>6</v>
      </c>
      <c r="C9" s="7">
        <f>3*Premissas!$B$8</f>
        <v>36.363636363636367</v>
      </c>
      <c r="D9" s="7">
        <f>C9+Premissas!$B$9</f>
        <v>84.363636363636374</v>
      </c>
      <c r="E9" s="7">
        <f>C9+Premissas!$B$11</f>
        <v>90.363636363636374</v>
      </c>
      <c r="F9" s="7">
        <f>E9+Premissas!$B$8</f>
        <v>102.4848484848485</v>
      </c>
      <c r="G9" s="7">
        <f>Premissas!$B$11</f>
        <v>54</v>
      </c>
      <c r="H9" s="7">
        <f>Premissas!$B$12</f>
        <v>3</v>
      </c>
      <c r="I9" s="7" t="s">
        <v>47</v>
      </c>
      <c r="J9" s="8" t="s">
        <v>48</v>
      </c>
      <c r="K9" s="17" t="str">
        <f t="shared" si="0"/>
        <v/>
      </c>
      <c r="L9" s="17" t="str">
        <f t="shared" si="0"/>
        <v/>
      </c>
      <c r="M9" s="17" t="str">
        <f t="shared" si="0"/>
        <v/>
      </c>
      <c r="N9" s="17" t="str">
        <f t="shared" si="0"/>
        <v/>
      </c>
      <c r="O9" s="17" t="str">
        <f t="shared" si="0"/>
        <v/>
      </c>
      <c r="P9" s="17" t="str">
        <f t="shared" si="0"/>
        <v/>
      </c>
      <c r="Q9" s="17" t="str">
        <f t="shared" si="0"/>
        <v/>
      </c>
      <c r="R9" s="17" t="str">
        <f t="shared" si="0"/>
        <v/>
      </c>
      <c r="S9" s="17" t="str">
        <f t="shared" si="0"/>
        <v/>
      </c>
      <c r="T9" s="17" t="str">
        <f t="shared" si="0"/>
        <v/>
      </c>
      <c r="U9" s="17" t="str">
        <f t="shared" si="1"/>
        <v/>
      </c>
      <c r="V9" s="17" t="str">
        <f t="shared" si="1"/>
        <v/>
      </c>
      <c r="W9" s="17" t="str">
        <f t="shared" si="1"/>
        <v/>
      </c>
      <c r="X9" s="17" t="str">
        <f t="shared" si="1"/>
        <v>R</v>
      </c>
      <c r="Y9" s="17" t="str">
        <f t="shared" si="1"/>
        <v>R</v>
      </c>
      <c r="Z9" s="17" t="str">
        <f t="shared" si="1"/>
        <v>R</v>
      </c>
      <c r="AA9" s="17" t="str">
        <f t="shared" si="1"/>
        <v>R</v>
      </c>
      <c r="AB9" s="17" t="str">
        <f t="shared" si="1"/>
        <v>R</v>
      </c>
      <c r="AC9" s="17" t="str">
        <f t="shared" si="1"/>
        <v>R</v>
      </c>
      <c r="AD9" s="17" t="str">
        <f t="shared" si="1"/>
        <v>R</v>
      </c>
      <c r="AE9" s="17" t="str">
        <f t="shared" si="2"/>
        <v>R</v>
      </c>
      <c r="AF9" s="17" t="str">
        <f t="shared" si="2"/>
        <v>R</v>
      </c>
      <c r="AG9" s="17" t="str">
        <f t="shared" si="2"/>
        <v>R</v>
      </c>
      <c r="AH9" s="17" t="str">
        <f t="shared" si="2"/>
        <v>R</v>
      </c>
      <c r="AI9" s="17" t="str">
        <f t="shared" si="2"/>
        <v>R</v>
      </c>
      <c r="AJ9" s="17" t="str">
        <f t="shared" si="2"/>
        <v>R</v>
      </c>
      <c r="AK9" s="17" t="str">
        <f t="shared" si="2"/>
        <v>R</v>
      </c>
      <c r="AL9" s="17" t="str">
        <f t="shared" si="2"/>
        <v>R</v>
      </c>
      <c r="AM9" s="17" t="str">
        <f t="shared" si="2"/>
        <v>R</v>
      </c>
      <c r="AN9" s="17" t="str">
        <f t="shared" si="2"/>
        <v>P</v>
      </c>
      <c r="AO9" s="17" t="str">
        <f t="shared" si="3"/>
        <v>P</v>
      </c>
      <c r="AP9" s="17" t="str">
        <f t="shared" si="3"/>
        <v>T</v>
      </c>
      <c r="AQ9" s="17" t="str">
        <f t="shared" si="3"/>
        <v>T</v>
      </c>
      <c r="AR9" s="17" t="str">
        <f t="shared" si="3"/>
        <v>T</v>
      </c>
      <c r="AS9" s="17" t="str">
        <f t="shared" si="3"/>
        <v>T</v>
      </c>
      <c r="AT9" s="17" t="str">
        <f t="shared" si="3"/>
        <v/>
      </c>
      <c r="AU9" s="17" t="str">
        <f t="shared" si="3"/>
        <v/>
      </c>
      <c r="AV9" s="17" t="str">
        <f t="shared" si="3"/>
        <v/>
      </c>
      <c r="AW9" s="17" t="str">
        <f t="shared" si="3"/>
        <v/>
      </c>
      <c r="AX9" s="17" t="str">
        <f t="shared" si="3"/>
        <v/>
      </c>
      <c r="AY9" s="17" t="str">
        <f t="shared" si="4"/>
        <v/>
      </c>
      <c r="AZ9" s="17" t="str">
        <f t="shared" si="4"/>
        <v/>
      </c>
      <c r="BA9" s="17" t="str">
        <f t="shared" si="4"/>
        <v/>
      </c>
      <c r="BB9" s="17" t="str">
        <f t="shared" si="4"/>
        <v/>
      </c>
      <c r="BC9" s="17" t="str">
        <f t="shared" si="4"/>
        <v/>
      </c>
      <c r="BD9" s="17" t="str">
        <f t="shared" si="4"/>
        <v/>
      </c>
      <c r="BE9" s="17" t="str">
        <f t="shared" si="4"/>
        <v/>
      </c>
      <c r="BF9" s="17" t="str">
        <f t="shared" si="4"/>
        <v/>
      </c>
      <c r="BG9" s="17" t="str">
        <f t="shared" si="4"/>
        <v/>
      </c>
      <c r="BH9" s="17" t="str">
        <f t="shared" si="4"/>
        <v/>
      </c>
      <c r="BI9" s="17" t="str">
        <f t="shared" si="5"/>
        <v/>
      </c>
      <c r="BJ9" s="17" t="str">
        <f t="shared" si="5"/>
        <v/>
      </c>
      <c r="BK9" s="17" t="str">
        <f t="shared" si="5"/>
        <v/>
      </c>
      <c r="BL9" s="17" t="str">
        <f t="shared" si="5"/>
        <v/>
      </c>
      <c r="BM9" s="17" t="str">
        <f t="shared" si="5"/>
        <v/>
      </c>
      <c r="BN9" s="17" t="str">
        <f t="shared" si="5"/>
        <v/>
      </c>
      <c r="BO9" s="17" t="str">
        <f t="shared" si="5"/>
        <v/>
      </c>
      <c r="BP9" s="17" t="str">
        <f t="shared" si="5"/>
        <v/>
      </c>
      <c r="BQ9" s="17" t="str">
        <f t="shared" si="5"/>
        <v/>
      </c>
      <c r="BR9" s="17" t="str">
        <f t="shared" si="5"/>
        <v/>
      </c>
      <c r="BS9" s="17" t="str">
        <f t="shared" si="6"/>
        <v/>
      </c>
      <c r="BT9" s="17" t="str">
        <f t="shared" si="6"/>
        <v/>
      </c>
      <c r="BU9" s="17" t="str">
        <f t="shared" si="6"/>
        <v/>
      </c>
      <c r="BV9" s="17" t="str">
        <f t="shared" si="6"/>
        <v/>
      </c>
      <c r="BW9" s="17" t="str">
        <f t="shared" si="6"/>
        <v/>
      </c>
      <c r="BX9" s="17" t="str">
        <f t="shared" si="6"/>
        <v/>
      </c>
      <c r="BY9" s="17" t="str">
        <f t="shared" si="6"/>
        <v/>
      </c>
      <c r="BZ9" s="17" t="str">
        <f t="shared" si="6"/>
        <v/>
      </c>
      <c r="CA9" s="17" t="str">
        <f t="shared" si="6"/>
        <v/>
      </c>
      <c r="CB9" s="17" t="str">
        <f t="shared" si="6"/>
        <v/>
      </c>
      <c r="CC9" s="17" t="str">
        <f t="shared" si="7"/>
        <v/>
      </c>
      <c r="CD9" s="17" t="str">
        <f t="shared" si="7"/>
        <v/>
      </c>
      <c r="CE9" s="17" t="str">
        <f t="shared" si="7"/>
        <v/>
      </c>
      <c r="CF9" s="17" t="str">
        <f t="shared" si="7"/>
        <v/>
      </c>
      <c r="CG9" s="17" t="str">
        <f t="shared" si="7"/>
        <v/>
      </c>
      <c r="CH9" s="17" t="str">
        <f t="shared" si="7"/>
        <v/>
      </c>
      <c r="CI9" s="17" t="str">
        <f t="shared" si="7"/>
        <v/>
      </c>
      <c r="CJ9" s="17" t="str">
        <f t="shared" si="7"/>
        <v/>
      </c>
      <c r="CK9" s="17" t="str">
        <f t="shared" si="7"/>
        <v/>
      </c>
      <c r="CL9" s="17" t="str">
        <f t="shared" si="7"/>
        <v/>
      </c>
      <c r="CM9" s="17" t="str">
        <f t="shared" si="8"/>
        <v/>
      </c>
      <c r="CN9" s="17" t="str">
        <f t="shared" si="8"/>
        <v/>
      </c>
      <c r="CO9" s="17" t="str">
        <f t="shared" si="8"/>
        <v/>
      </c>
      <c r="CP9" s="17" t="str">
        <f t="shared" si="8"/>
        <v/>
      </c>
      <c r="CQ9" s="17" t="str">
        <f t="shared" si="8"/>
        <v/>
      </c>
      <c r="CR9" s="17" t="str">
        <f t="shared" si="8"/>
        <v/>
      </c>
      <c r="CS9" s="17" t="str">
        <f t="shared" si="8"/>
        <v/>
      </c>
      <c r="CT9" s="17" t="str">
        <f t="shared" si="8"/>
        <v/>
      </c>
      <c r="CU9" s="17" t="str">
        <f t="shared" si="8"/>
        <v/>
      </c>
      <c r="CV9" s="17" t="str">
        <f t="shared" si="8"/>
        <v/>
      </c>
      <c r="CW9" s="17" t="str">
        <f t="shared" si="9"/>
        <v/>
      </c>
      <c r="CX9" s="17" t="str">
        <f t="shared" si="9"/>
        <v/>
      </c>
      <c r="CY9" s="17" t="str">
        <f t="shared" si="9"/>
        <v/>
      </c>
      <c r="CZ9" s="17" t="str">
        <f t="shared" si="9"/>
        <v/>
      </c>
      <c r="DA9" s="17" t="str">
        <f t="shared" si="9"/>
        <v/>
      </c>
      <c r="DB9" s="17" t="str">
        <f t="shared" si="9"/>
        <v/>
      </c>
      <c r="DC9" s="17" t="str">
        <f t="shared" si="9"/>
        <v/>
      </c>
      <c r="DD9" s="17" t="str">
        <f t="shared" si="9"/>
        <v/>
      </c>
      <c r="DE9" s="17" t="str">
        <f t="shared" si="9"/>
        <v/>
      </c>
      <c r="DF9" s="17" t="str">
        <f t="shared" si="9"/>
        <v/>
      </c>
      <c r="DG9" s="17" t="str">
        <f t="shared" si="10"/>
        <v/>
      </c>
      <c r="DH9" s="17" t="str">
        <f t="shared" si="10"/>
        <v/>
      </c>
      <c r="DI9" s="17" t="str">
        <f t="shared" si="10"/>
        <v/>
      </c>
      <c r="DJ9" s="17" t="str">
        <f t="shared" si="10"/>
        <v/>
      </c>
      <c r="DK9" s="17" t="str">
        <f t="shared" si="10"/>
        <v/>
      </c>
      <c r="DL9" s="17" t="str">
        <f t="shared" si="10"/>
        <v/>
      </c>
      <c r="DM9" s="17" t="str">
        <f t="shared" si="10"/>
        <v/>
      </c>
      <c r="DN9" s="17" t="str">
        <f t="shared" si="10"/>
        <v/>
      </c>
      <c r="DO9" s="17" t="str">
        <f t="shared" si="10"/>
        <v/>
      </c>
      <c r="DP9" s="17" t="str">
        <f t="shared" si="10"/>
        <v/>
      </c>
      <c r="DQ9" s="17" t="str">
        <f t="shared" si="11"/>
        <v/>
      </c>
      <c r="DR9" s="17" t="str">
        <f t="shared" si="11"/>
        <v/>
      </c>
      <c r="DS9" s="17" t="str">
        <f t="shared" si="11"/>
        <v/>
      </c>
      <c r="DT9" s="17" t="str">
        <f t="shared" si="11"/>
        <v/>
      </c>
      <c r="DU9" s="17" t="str">
        <f t="shared" si="11"/>
        <v/>
      </c>
      <c r="DV9" s="17" t="str">
        <f t="shared" si="11"/>
        <v/>
      </c>
      <c r="DW9" s="17" t="str">
        <f t="shared" si="11"/>
        <v/>
      </c>
      <c r="DX9" s="17" t="str">
        <f t="shared" si="11"/>
        <v/>
      </c>
      <c r="DY9" s="17" t="str">
        <f t="shared" si="11"/>
        <v/>
      </c>
      <c r="DZ9" s="17" t="str">
        <f t="shared" si="11"/>
        <v/>
      </c>
      <c r="EA9" s="17" t="str">
        <f t="shared" si="12"/>
        <v/>
      </c>
      <c r="EB9" s="17" t="str">
        <f t="shared" si="12"/>
        <v/>
      </c>
      <c r="EC9" s="17" t="str">
        <f t="shared" si="12"/>
        <v/>
      </c>
      <c r="ED9" s="17" t="str">
        <f t="shared" si="12"/>
        <v/>
      </c>
      <c r="EE9" s="17" t="str">
        <f t="shared" si="12"/>
        <v/>
      </c>
      <c r="EF9" s="17" t="str">
        <f t="shared" si="12"/>
        <v/>
      </c>
      <c r="EG9" s="17" t="str">
        <f t="shared" si="12"/>
        <v/>
      </c>
      <c r="EH9" s="17" t="str">
        <f t="shared" si="12"/>
        <v/>
      </c>
      <c r="EI9" s="17" t="str">
        <f t="shared" si="12"/>
        <v/>
      </c>
      <c r="EJ9" s="17" t="str">
        <f t="shared" si="12"/>
        <v/>
      </c>
      <c r="EK9" s="17" t="str">
        <f t="shared" si="13"/>
        <v/>
      </c>
      <c r="EL9" s="17" t="str">
        <f t="shared" si="13"/>
        <v/>
      </c>
      <c r="EM9" s="17" t="str">
        <f t="shared" si="13"/>
        <v/>
      </c>
      <c r="EN9" s="17" t="str">
        <f t="shared" si="13"/>
        <v/>
      </c>
      <c r="EO9" s="17" t="str">
        <f t="shared" si="13"/>
        <v/>
      </c>
      <c r="EP9" s="17" t="str">
        <f t="shared" si="13"/>
        <v/>
      </c>
      <c r="EQ9" s="17" t="str">
        <f t="shared" si="13"/>
        <v/>
      </c>
      <c r="ER9" s="17" t="str">
        <f t="shared" si="13"/>
        <v/>
      </c>
      <c r="ES9" s="17" t="str">
        <f t="shared" si="13"/>
        <v/>
      </c>
      <c r="ET9" s="17" t="str">
        <f t="shared" si="13"/>
        <v/>
      </c>
      <c r="EU9" s="17" t="str">
        <f t="shared" si="14"/>
        <v/>
      </c>
      <c r="EV9" s="17" t="str">
        <f t="shared" si="14"/>
        <v/>
      </c>
      <c r="EW9" s="17" t="str">
        <f t="shared" si="14"/>
        <v/>
      </c>
      <c r="EX9" s="17" t="str">
        <f t="shared" si="14"/>
        <v/>
      </c>
      <c r="EY9" s="17" t="str">
        <f t="shared" si="14"/>
        <v/>
      </c>
      <c r="EZ9" s="17" t="str">
        <f t="shared" si="14"/>
        <v/>
      </c>
      <c r="FA9" s="17" t="str">
        <f t="shared" si="14"/>
        <v/>
      </c>
      <c r="FB9" s="17" t="str">
        <f t="shared" si="14"/>
        <v/>
      </c>
      <c r="FC9" s="17" t="str">
        <f t="shared" si="14"/>
        <v/>
      </c>
      <c r="FD9" s="17" t="str">
        <f t="shared" si="14"/>
        <v/>
      </c>
      <c r="FE9" s="17" t="str">
        <f t="shared" si="15"/>
        <v/>
      </c>
      <c r="FF9" s="17" t="str">
        <f t="shared" si="15"/>
        <v/>
      </c>
      <c r="FG9" s="17" t="str">
        <f t="shared" si="15"/>
        <v/>
      </c>
      <c r="FH9" s="17" t="str">
        <f t="shared" si="15"/>
        <v/>
      </c>
      <c r="FI9" s="17" t="str">
        <f t="shared" si="15"/>
        <v/>
      </c>
      <c r="FJ9" s="17" t="str">
        <f t="shared" si="15"/>
        <v/>
      </c>
      <c r="FK9" s="17" t="str">
        <f t="shared" si="15"/>
        <v/>
      </c>
      <c r="FL9" s="17" t="str">
        <f t="shared" si="15"/>
        <v/>
      </c>
      <c r="FM9" s="17" t="str">
        <f t="shared" si="15"/>
        <v/>
      </c>
      <c r="FN9" s="17" t="str">
        <f t="shared" si="15"/>
        <v/>
      </c>
      <c r="FO9" s="17" t="str">
        <f t="shared" si="16"/>
        <v/>
      </c>
      <c r="FP9" s="17" t="str">
        <f t="shared" si="16"/>
        <v/>
      </c>
      <c r="FQ9" s="17" t="str">
        <f t="shared" si="16"/>
        <v/>
      </c>
      <c r="FR9" s="17" t="str">
        <f t="shared" si="16"/>
        <v/>
      </c>
      <c r="FS9" s="17" t="str">
        <f t="shared" si="16"/>
        <v/>
      </c>
      <c r="FT9" s="17" t="str">
        <f t="shared" si="16"/>
        <v/>
      </c>
      <c r="FU9" s="17" t="str">
        <f t="shared" si="16"/>
        <v/>
      </c>
      <c r="FV9" s="17" t="str">
        <f t="shared" si="16"/>
        <v/>
      </c>
      <c r="FW9" s="17" t="str">
        <f t="shared" si="16"/>
        <v/>
      </c>
      <c r="FX9" s="17" t="str">
        <f t="shared" si="16"/>
        <v/>
      </c>
      <c r="FY9" s="17" t="str">
        <f t="shared" si="17"/>
        <v/>
      </c>
      <c r="FZ9" s="17" t="str">
        <f t="shared" si="17"/>
        <v/>
      </c>
      <c r="GA9" s="17" t="str">
        <f t="shared" si="17"/>
        <v/>
      </c>
      <c r="GB9" s="17" t="str">
        <f t="shared" si="17"/>
        <v/>
      </c>
      <c r="GC9" s="17" t="str">
        <f t="shared" si="17"/>
        <v/>
      </c>
      <c r="GD9" s="17" t="str">
        <f t="shared" si="17"/>
        <v/>
      </c>
      <c r="GE9" s="17" t="str">
        <f t="shared" si="17"/>
        <v/>
      </c>
      <c r="GF9" s="17" t="str">
        <f t="shared" si="17"/>
        <v/>
      </c>
      <c r="GG9" s="17" t="str">
        <f t="shared" si="17"/>
        <v/>
      </c>
      <c r="GH9" s="17" t="str">
        <f t="shared" si="17"/>
        <v/>
      </c>
      <c r="GI9" s="17" t="str">
        <f t="shared" si="18"/>
        <v/>
      </c>
      <c r="GJ9" s="17" t="str">
        <f t="shared" si="18"/>
        <v/>
      </c>
      <c r="GK9" s="17" t="str">
        <f t="shared" si="18"/>
        <v/>
      </c>
      <c r="GL9" s="17" t="str">
        <f t="shared" si="18"/>
        <v/>
      </c>
      <c r="GM9" s="17" t="str">
        <f t="shared" si="18"/>
        <v/>
      </c>
      <c r="GN9" s="17" t="str">
        <f t="shared" si="18"/>
        <v/>
      </c>
      <c r="GO9" s="17" t="str">
        <f t="shared" si="18"/>
        <v/>
      </c>
      <c r="GP9" s="17" t="str">
        <f t="shared" si="18"/>
        <v/>
      </c>
      <c r="GQ9" s="17" t="str">
        <f t="shared" si="18"/>
        <v/>
      </c>
      <c r="GR9" s="17" t="str">
        <f t="shared" si="18"/>
        <v/>
      </c>
      <c r="GS9" s="17" t="str">
        <f t="shared" si="19"/>
        <v/>
      </c>
      <c r="GT9" s="17" t="str">
        <f t="shared" si="19"/>
        <v/>
      </c>
      <c r="GU9" s="17" t="str">
        <f t="shared" si="19"/>
        <v/>
      </c>
      <c r="GV9" s="17" t="str">
        <f t="shared" si="19"/>
        <v/>
      </c>
      <c r="GW9" s="17" t="str">
        <f t="shared" si="19"/>
        <v/>
      </c>
      <c r="GX9" s="17" t="str">
        <f t="shared" si="19"/>
        <v/>
      </c>
      <c r="GY9" s="17" t="str">
        <f t="shared" si="19"/>
        <v/>
      </c>
      <c r="GZ9" s="17" t="str">
        <f t="shared" si="19"/>
        <v/>
      </c>
      <c r="HA9" s="17" t="str">
        <f t="shared" si="19"/>
        <v/>
      </c>
      <c r="HB9" s="17" t="str">
        <f t="shared" si="19"/>
        <v/>
      </c>
      <c r="HC9" s="17" t="str">
        <f t="shared" si="20"/>
        <v/>
      </c>
      <c r="HD9" s="17" t="str">
        <f t="shared" si="20"/>
        <v/>
      </c>
      <c r="HE9" s="17" t="str">
        <f t="shared" si="20"/>
        <v/>
      </c>
      <c r="HF9" s="17" t="str">
        <f t="shared" si="20"/>
        <v/>
      </c>
      <c r="HG9" s="17" t="str">
        <f t="shared" si="20"/>
        <v/>
      </c>
      <c r="HH9" s="17" t="str">
        <f t="shared" si="20"/>
        <v/>
      </c>
      <c r="HI9" s="17" t="str">
        <f t="shared" si="20"/>
        <v/>
      </c>
      <c r="HJ9" s="17" t="str">
        <f t="shared" si="20"/>
        <v/>
      </c>
      <c r="HK9" s="17" t="str">
        <f t="shared" si="20"/>
        <v/>
      </c>
      <c r="HL9" s="17" t="str">
        <f t="shared" si="20"/>
        <v/>
      </c>
      <c r="HM9" s="17" t="str">
        <f t="shared" si="21"/>
        <v/>
      </c>
      <c r="HN9" s="17" t="str">
        <f t="shared" si="21"/>
        <v/>
      </c>
      <c r="HO9" s="17" t="str">
        <f t="shared" si="21"/>
        <v/>
      </c>
      <c r="HP9" s="17" t="str">
        <f t="shared" si="21"/>
        <v/>
      </c>
      <c r="HQ9" s="17" t="str">
        <f t="shared" si="21"/>
        <v/>
      </c>
      <c r="HR9" s="17" t="str">
        <f t="shared" si="21"/>
        <v/>
      </c>
      <c r="HS9" s="17" t="str">
        <f t="shared" si="21"/>
        <v/>
      </c>
      <c r="HT9" s="17" t="str">
        <f t="shared" si="21"/>
        <v/>
      </c>
      <c r="HU9" s="17" t="str">
        <f t="shared" si="21"/>
        <v/>
      </c>
      <c r="HV9" s="17" t="str">
        <f t="shared" si="21"/>
        <v/>
      </c>
      <c r="HW9" s="17" t="str">
        <f t="shared" si="21"/>
        <v/>
      </c>
      <c r="HX9" s="17" t="str">
        <f t="shared" si="21"/>
        <v/>
      </c>
      <c r="HY9" s="17" t="str">
        <f t="shared" si="21"/>
        <v/>
      </c>
      <c r="HZ9" s="17" t="str">
        <f t="shared" si="21"/>
        <v/>
      </c>
      <c r="IA9" s="17" t="str">
        <f t="shared" si="21"/>
        <v/>
      </c>
    </row>
    <row r="10" spans="1:235" ht="25.95" customHeight="1" x14ac:dyDescent="0.3">
      <c r="A10" s="7">
        <v>5</v>
      </c>
      <c r="B10" s="7">
        <f>Premissas!$B$6</f>
        <v>6</v>
      </c>
      <c r="C10" s="7">
        <f>4*Premissas!$B$8</f>
        <v>48.484848484848492</v>
      </c>
      <c r="D10" s="7">
        <f>C10+Premissas!$B$9</f>
        <v>96.484848484848499</v>
      </c>
      <c r="E10" s="7">
        <f>C10+Premissas!$B$11</f>
        <v>102.4848484848485</v>
      </c>
      <c r="F10" s="7">
        <f>E10+Premissas!$B$8</f>
        <v>114.60606060606062</v>
      </c>
      <c r="G10" s="7">
        <f>Premissas!$B$11</f>
        <v>54</v>
      </c>
      <c r="H10" s="7">
        <f>Premissas!$B$12</f>
        <v>3</v>
      </c>
      <c r="I10" s="7" t="s">
        <v>47</v>
      </c>
      <c r="J10" s="8" t="s">
        <v>48</v>
      </c>
      <c r="K10" s="17" t="str">
        <f t="shared" si="0"/>
        <v/>
      </c>
      <c r="L10" s="17" t="str">
        <f t="shared" si="0"/>
        <v/>
      </c>
      <c r="M10" s="17" t="str">
        <f t="shared" si="0"/>
        <v/>
      </c>
      <c r="N10" s="17" t="str">
        <f t="shared" si="0"/>
        <v/>
      </c>
      <c r="O10" s="17" t="str">
        <f t="shared" si="0"/>
        <v/>
      </c>
      <c r="P10" s="17" t="str">
        <f t="shared" si="0"/>
        <v/>
      </c>
      <c r="Q10" s="17" t="str">
        <f t="shared" si="0"/>
        <v/>
      </c>
      <c r="R10" s="17" t="str">
        <f t="shared" si="0"/>
        <v/>
      </c>
      <c r="S10" s="17" t="str">
        <f t="shared" si="0"/>
        <v/>
      </c>
      <c r="T10" s="17" t="str">
        <f t="shared" si="0"/>
        <v/>
      </c>
      <c r="U10" s="17" t="str">
        <f t="shared" si="1"/>
        <v/>
      </c>
      <c r="V10" s="17" t="str">
        <f t="shared" si="1"/>
        <v/>
      </c>
      <c r="W10" s="17" t="str">
        <f t="shared" si="1"/>
        <v/>
      </c>
      <c r="X10" s="17" t="str">
        <f t="shared" si="1"/>
        <v/>
      </c>
      <c r="Y10" s="17" t="str">
        <f t="shared" si="1"/>
        <v/>
      </c>
      <c r="Z10" s="17" t="str">
        <f t="shared" si="1"/>
        <v/>
      </c>
      <c r="AA10" s="17" t="str">
        <f t="shared" si="1"/>
        <v/>
      </c>
      <c r="AB10" s="17" t="str">
        <f t="shared" si="1"/>
        <v>R</v>
      </c>
      <c r="AC10" s="17" t="str">
        <f t="shared" si="1"/>
        <v>R</v>
      </c>
      <c r="AD10" s="17" t="str">
        <f t="shared" si="1"/>
        <v>R</v>
      </c>
      <c r="AE10" s="17" t="str">
        <f t="shared" si="2"/>
        <v>R</v>
      </c>
      <c r="AF10" s="17" t="str">
        <f t="shared" si="2"/>
        <v>R</v>
      </c>
      <c r="AG10" s="17" t="str">
        <f t="shared" si="2"/>
        <v>R</v>
      </c>
      <c r="AH10" s="17" t="str">
        <f t="shared" si="2"/>
        <v>R</v>
      </c>
      <c r="AI10" s="17" t="str">
        <f t="shared" si="2"/>
        <v>R</v>
      </c>
      <c r="AJ10" s="17" t="str">
        <f t="shared" si="2"/>
        <v>R</v>
      </c>
      <c r="AK10" s="17" t="str">
        <f t="shared" si="2"/>
        <v>R</v>
      </c>
      <c r="AL10" s="17" t="str">
        <f t="shared" si="2"/>
        <v>R</v>
      </c>
      <c r="AM10" s="17" t="str">
        <f t="shared" si="2"/>
        <v>R</v>
      </c>
      <c r="AN10" s="17" t="str">
        <f t="shared" si="2"/>
        <v>R</v>
      </c>
      <c r="AO10" s="17" t="str">
        <f t="shared" si="3"/>
        <v>R</v>
      </c>
      <c r="AP10" s="17" t="str">
        <f t="shared" si="3"/>
        <v>R</v>
      </c>
      <c r="AQ10" s="17" t="str">
        <f t="shared" si="3"/>
        <v>R</v>
      </c>
      <c r="AR10" s="17" t="str">
        <f t="shared" si="3"/>
        <v>P</v>
      </c>
      <c r="AS10" s="17" t="str">
        <f t="shared" si="3"/>
        <v>P</v>
      </c>
      <c r="AT10" s="17" t="str">
        <f t="shared" si="3"/>
        <v>T</v>
      </c>
      <c r="AU10" s="17" t="str">
        <f t="shared" si="3"/>
        <v>T</v>
      </c>
      <c r="AV10" s="17" t="str">
        <f t="shared" si="3"/>
        <v>T</v>
      </c>
      <c r="AW10" s="17" t="str">
        <f t="shared" si="3"/>
        <v>T</v>
      </c>
      <c r="AX10" s="17" t="str">
        <f t="shared" si="3"/>
        <v/>
      </c>
      <c r="AY10" s="17" t="str">
        <f t="shared" si="4"/>
        <v/>
      </c>
      <c r="AZ10" s="17" t="str">
        <f t="shared" si="4"/>
        <v/>
      </c>
      <c r="BA10" s="17" t="str">
        <f t="shared" si="4"/>
        <v/>
      </c>
      <c r="BB10" s="17" t="str">
        <f t="shared" si="4"/>
        <v/>
      </c>
      <c r="BC10" s="17" t="str">
        <f t="shared" si="4"/>
        <v/>
      </c>
      <c r="BD10" s="17" t="str">
        <f t="shared" si="4"/>
        <v/>
      </c>
      <c r="BE10" s="17" t="str">
        <f t="shared" si="4"/>
        <v/>
      </c>
      <c r="BF10" s="17" t="str">
        <f t="shared" si="4"/>
        <v/>
      </c>
      <c r="BG10" s="17" t="str">
        <f t="shared" si="4"/>
        <v/>
      </c>
      <c r="BH10" s="17" t="str">
        <f t="shared" si="4"/>
        <v/>
      </c>
      <c r="BI10" s="17" t="str">
        <f t="shared" si="5"/>
        <v/>
      </c>
      <c r="BJ10" s="17" t="str">
        <f t="shared" si="5"/>
        <v/>
      </c>
      <c r="BK10" s="17" t="str">
        <f t="shared" si="5"/>
        <v/>
      </c>
      <c r="BL10" s="17" t="str">
        <f t="shared" si="5"/>
        <v/>
      </c>
      <c r="BM10" s="17" t="str">
        <f t="shared" si="5"/>
        <v/>
      </c>
      <c r="BN10" s="17" t="str">
        <f t="shared" si="5"/>
        <v/>
      </c>
      <c r="BO10" s="17" t="str">
        <f t="shared" si="5"/>
        <v/>
      </c>
      <c r="BP10" s="17" t="str">
        <f t="shared" si="5"/>
        <v/>
      </c>
      <c r="BQ10" s="17" t="str">
        <f t="shared" si="5"/>
        <v/>
      </c>
      <c r="BR10" s="17" t="str">
        <f t="shared" si="5"/>
        <v/>
      </c>
      <c r="BS10" s="17" t="str">
        <f t="shared" si="6"/>
        <v/>
      </c>
      <c r="BT10" s="17" t="str">
        <f t="shared" si="6"/>
        <v/>
      </c>
      <c r="BU10" s="17" t="str">
        <f t="shared" si="6"/>
        <v/>
      </c>
      <c r="BV10" s="17" t="str">
        <f t="shared" si="6"/>
        <v/>
      </c>
      <c r="BW10" s="17" t="str">
        <f t="shared" si="6"/>
        <v/>
      </c>
      <c r="BX10" s="17" t="str">
        <f t="shared" si="6"/>
        <v/>
      </c>
      <c r="BY10" s="17" t="str">
        <f t="shared" si="6"/>
        <v/>
      </c>
      <c r="BZ10" s="17" t="str">
        <f t="shared" si="6"/>
        <v/>
      </c>
      <c r="CA10" s="17" t="str">
        <f t="shared" si="6"/>
        <v/>
      </c>
      <c r="CB10" s="17" t="str">
        <f t="shared" si="6"/>
        <v/>
      </c>
      <c r="CC10" s="17" t="str">
        <f t="shared" si="7"/>
        <v/>
      </c>
      <c r="CD10" s="17" t="str">
        <f t="shared" si="7"/>
        <v/>
      </c>
      <c r="CE10" s="17" t="str">
        <f t="shared" si="7"/>
        <v/>
      </c>
      <c r="CF10" s="17" t="str">
        <f t="shared" si="7"/>
        <v/>
      </c>
      <c r="CG10" s="17" t="str">
        <f t="shared" si="7"/>
        <v/>
      </c>
      <c r="CH10" s="17" t="str">
        <f t="shared" si="7"/>
        <v/>
      </c>
      <c r="CI10" s="17" t="str">
        <f t="shared" si="7"/>
        <v/>
      </c>
      <c r="CJ10" s="17" t="str">
        <f t="shared" si="7"/>
        <v/>
      </c>
      <c r="CK10" s="17" t="str">
        <f t="shared" si="7"/>
        <v/>
      </c>
      <c r="CL10" s="17" t="str">
        <f t="shared" si="7"/>
        <v/>
      </c>
      <c r="CM10" s="17" t="str">
        <f t="shared" si="8"/>
        <v/>
      </c>
      <c r="CN10" s="17" t="str">
        <f t="shared" si="8"/>
        <v/>
      </c>
      <c r="CO10" s="17" t="str">
        <f t="shared" si="8"/>
        <v/>
      </c>
      <c r="CP10" s="17" t="str">
        <f t="shared" si="8"/>
        <v/>
      </c>
      <c r="CQ10" s="17" t="str">
        <f t="shared" si="8"/>
        <v/>
      </c>
      <c r="CR10" s="17" t="str">
        <f t="shared" si="8"/>
        <v/>
      </c>
      <c r="CS10" s="17" t="str">
        <f t="shared" si="8"/>
        <v/>
      </c>
      <c r="CT10" s="17" t="str">
        <f t="shared" si="8"/>
        <v/>
      </c>
      <c r="CU10" s="17" t="str">
        <f t="shared" si="8"/>
        <v/>
      </c>
      <c r="CV10" s="17" t="str">
        <f t="shared" si="8"/>
        <v/>
      </c>
      <c r="CW10" s="17" t="str">
        <f t="shared" si="9"/>
        <v/>
      </c>
      <c r="CX10" s="17" t="str">
        <f t="shared" si="9"/>
        <v/>
      </c>
      <c r="CY10" s="17" t="str">
        <f t="shared" si="9"/>
        <v/>
      </c>
      <c r="CZ10" s="17" t="str">
        <f t="shared" si="9"/>
        <v/>
      </c>
      <c r="DA10" s="17" t="str">
        <f t="shared" si="9"/>
        <v/>
      </c>
      <c r="DB10" s="17" t="str">
        <f t="shared" si="9"/>
        <v/>
      </c>
      <c r="DC10" s="17" t="str">
        <f t="shared" si="9"/>
        <v/>
      </c>
      <c r="DD10" s="17" t="str">
        <f t="shared" si="9"/>
        <v/>
      </c>
      <c r="DE10" s="17" t="str">
        <f t="shared" si="9"/>
        <v/>
      </c>
      <c r="DF10" s="17" t="str">
        <f t="shared" si="9"/>
        <v/>
      </c>
      <c r="DG10" s="17" t="str">
        <f t="shared" si="10"/>
        <v/>
      </c>
      <c r="DH10" s="17" t="str">
        <f t="shared" si="10"/>
        <v/>
      </c>
      <c r="DI10" s="17" t="str">
        <f t="shared" si="10"/>
        <v/>
      </c>
      <c r="DJ10" s="17" t="str">
        <f t="shared" si="10"/>
        <v/>
      </c>
      <c r="DK10" s="17" t="str">
        <f t="shared" si="10"/>
        <v/>
      </c>
      <c r="DL10" s="17" t="str">
        <f t="shared" si="10"/>
        <v/>
      </c>
      <c r="DM10" s="17" t="str">
        <f t="shared" si="10"/>
        <v/>
      </c>
      <c r="DN10" s="17" t="str">
        <f t="shared" si="10"/>
        <v/>
      </c>
      <c r="DO10" s="17" t="str">
        <f t="shared" si="10"/>
        <v/>
      </c>
      <c r="DP10" s="17" t="str">
        <f t="shared" si="10"/>
        <v/>
      </c>
      <c r="DQ10" s="17" t="str">
        <f t="shared" si="11"/>
        <v/>
      </c>
      <c r="DR10" s="17" t="str">
        <f t="shared" si="11"/>
        <v/>
      </c>
      <c r="DS10" s="17" t="str">
        <f t="shared" si="11"/>
        <v/>
      </c>
      <c r="DT10" s="17" t="str">
        <f t="shared" si="11"/>
        <v/>
      </c>
      <c r="DU10" s="17" t="str">
        <f t="shared" si="11"/>
        <v/>
      </c>
      <c r="DV10" s="17" t="str">
        <f t="shared" si="11"/>
        <v/>
      </c>
      <c r="DW10" s="17" t="str">
        <f t="shared" si="11"/>
        <v/>
      </c>
      <c r="DX10" s="17" t="str">
        <f t="shared" si="11"/>
        <v/>
      </c>
      <c r="DY10" s="17" t="str">
        <f t="shared" si="11"/>
        <v/>
      </c>
      <c r="DZ10" s="17" t="str">
        <f t="shared" si="11"/>
        <v/>
      </c>
      <c r="EA10" s="17" t="str">
        <f t="shared" si="12"/>
        <v/>
      </c>
      <c r="EB10" s="17" t="str">
        <f t="shared" si="12"/>
        <v/>
      </c>
      <c r="EC10" s="17" t="str">
        <f t="shared" si="12"/>
        <v/>
      </c>
      <c r="ED10" s="17" t="str">
        <f t="shared" si="12"/>
        <v/>
      </c>
      <c r="EE10" s="17" t="str">
        <f t="shared" si="12"/>
        <v/>
      </c>
      <c r="EF10" s="17" t="str">
        <f t="shared" si="12"/>
        <v/>
      </c>
      <c r="EG10" s="17" t="str">
        <f t="shared" si="12"/>
        <v/>
      </c>
      <c r="EH10" s="17" t="str">
        <f t="shared" si="12"/>
        <v/>
      </c>
      <c r="EI10" s="17" t="str">
        <f t="shared" si="12"/>
        <v/>
      </c>
      <c r="EJ10" s="17" t="str">
        <f t="shared" si="12"/>
        <v/>
      </c>
      <c r="EK10" s="17" t="str">
        <f t="shared" si="13"/>
        <v/>
      </c>
      <c r="EL10" s="17" t="str">
        <f t="shared" si="13"/>
        <v/>
      </c>
      <c r="EM10" s="17" t="str">
        <f t="shared" si="13"/>
        <v/>
      </c>
      <c r="EN10" s="17" t="str">
        <f t="shared" si="13"/>
        <v/>
      </c>
      <c r="EO10" s="17" t="str">
        <f t="shared" si="13"/>
        <v/>
      </c>
      <c r="EP10" s="17" t="str">
        <f t="shared" si="13"/>
        <v/>
      </c>
      <c r="EQ10" s="17" t="str">
        <f t="shared" si="13"/>
        <v/>
      </c>
      <c r="ER10" s="17" t="str">
        <f t="shared" si="13"/>
        <v/>
      </c>
      <c r="ES10" s="17" t="str">
        <f t="shared" si="13"/>
        <v/>
      </c>
      <c r="ET10" s="17" t="str">
        <f t="shared" si="13"/>
        <v/>
      </c>
      <c r="EU10" s="17" t="str">
        <f t="shared" si="14"/>
        <v/>
      </c>
      <c r="EV10" s="17" t="str">
        <f t="shared" si="14"/>
        <v/>
      </c>
      <c r="EW10" s="17" t="str">
        <f t="shared" si="14"/>
        <v/>
      </c>
      <c r="EX10" s="17" t="str">
        <f t="shared" si="14"/>
        <v/>
      </c>
      <c r="EY10" s="17" t="str">
        <f t="shared" si="14"/>
        <v/>
      </c>
      <c r="EZ10" s="17" t="str">
        <f t="shared" si="14"/>
        <v/>
      </c>
      <c r="FA10" s="17" t="str">
        <f t="shared" si="14"/>
        <v/>
      </c>
      <c r="FB10" s="17" t="str">
        <f t="shared" si="14"/>
        <v/>
      </c>
      <c r="FC10" s="17" t="str">
        <f t="shared" si="14"/>
        <v/>
      </c>
      <c r="FD10" s="17" t="str">
        <f t="shared" si="14"/>
        <v/>
      </c>
      <c r="FE10" s="17" t="str">
        <f t="shared" si="15"/>
        <v/>
      </c>
      <c r="FF10" s="17" t="str">
        <f t="shared" si="15"/>
        <v/>
      </c>
      <c r="FG10" s="17" t="str">
        <f t="shared" si="15"/>
        <v/>
      </c>
      <c r="FH10" s="17" t="str">
        <f t="shared" si="15"/>
        <v/>
      </c>
      <c r="FI10" s="17" t="str">
        <f t="shared" si="15"/>
        <v/>
      </c>
      <c r="FJ10" s="17" t="str">
        <f t="shared" si="15"/>
        <v/>
      </c>
      <c r="FK10" s="17" t="str">
        <f t="shared" si="15"/>
        <v/>
      </c>
      <c r="FL10" s="17" t="str">
        <f t="shared" si="15"/>
        <v/>
      </c>
      <c r="FM10" s="17" t="str">
        <f t="shared" si="15"/>
        <v/>
      </c>
      <c r="FN10" s="17" t="str">
        <f t="shared" si="15"/>
        <v/>
      </c>
      <c r="FO10" s="17" t="str">
        <f t="shared" si="16"/>
        <v/>
      </c>
      <c r="FP10" s="17" t="str">
        <f t="shared" si="16"/>
        <v/>
      </c>
      <c r="FQ10" s="17" t="str">
        <f t="shared" si="16"/>
        <v/>
      </c>
      <c r="FR10" s="17" t="str">
        <f t="shared" si="16"/>
        <v/>
      </c>
      <c r="FS10" s="17" t="str">
        <f t="shared" si="16"/>
        <v/>
      </c>
      <c r="FT10" s="17" t="str">
        <f t="shared" si="16"/>
        <v/>
      </c>
      <c r="FU10" s="17" t="str">
        <f t="shared" si="16"/>
        <v/>
      </c>
      <c r="FV10" s="17" t="str">
        <f t="shared" si="16"/>
        <v/>
      </c>
      <c r="FW10" s="17" t="str">
        <f t="shared" si="16"/>
        <v/>
      </c>
      <c r="FX10" s="17" t="str">
        <f t="shared" si="16"/>
        <v/>
      </c>
      <c r="FY10" s="17" t="str">
        <f t="shared" si="17"/>
        <v/>
      </c>
      <c r="FZ10" s="17" t="str">
        <f t="shared" si="17"/>
        <v/>
      </c>
      <c r="GA10" s="17" t="str">
        <f t="shared" si="17"/>
        <v/>
      </c>
      <c r="GB10" s="17" t="str">
        <f t="shared" si="17"/>
        <v/>
      </c>
      <c r="GC10" s="17" t="str">
        <f t="shared" si="17"/>
        <v/>
      </c>
      <c r="GD10" s="17" t="str">
        <f t="shared" si="17"/>
        <v/>
      </c>
      <c r="GE10" s="17" t="str">
        <f t="shared" si="17"/>
        <v/>
      </c>
      <c r="GF10" s="17" t="str">
        <f t="shared" si="17"/>
        <v/>
      </c>
      <c r="GG10" s="17" t="str">
        <f t="shared" si="17"/>
        <v/>
      </c>
      <c r="GH10" s="17" t="str">
        <f t="shared" si="17"/>
        <v/>
      </c>
      <c r="GI10" s="17" t="str">
        <f t="shared" si="18"/>
        <v/>
      </c>
      <c r="GJ10" s="17" t="str">
        <f t="shared" si="18"/>
        <v/>
      </c>
      <c r="GK10" s="17" t="str">
        <f t="shared" si="18"/>
        <v/>
      </c>
      <c r="GL10" s="17" t="str">
        <f t="shared" si="18"/>
        <v/>
      </c>
      <c r="GM10" s="17" t="str">
        <f t="shared" si="18"/>
        <v/>
      </c>
      <c r="GN10" s="17" t="str">
        <f t="shared" si="18"/>
        <v/>
      </c>
      <c r="GO10" s="17" t="str">
        <f t="shared" si="18"/>
        <v/>
      </c>
      <c r="GP10" s="17" t="str">
        <f t="shared" si="18"/>
        <v/>
      </c>
      <c r="GQ10" s="17" t="str">
        <f t="shared" si="18"/>
        <v/>
      </c>
      <c r="GR10" s="17" t="str">
        <f t="shared" si="18"/>
        <v/>
      </c>
      <c r="GS10" s="17" t="str">
        <f t="shared" si="19"/>
        <v/>
      </c>
      <c r="GT10" s="17" t="str">
        <f t="shared" si="19"/>
        <v/>
      </c>
      <c r="GU10" s="17" t="str">
        <f t="shared" si="19"/>
        <v/>
      </c>
      <c r="GV10" s="17" t="str">
        <f t="shared" si="19"/>
        <v/>
      </c>
      <c r="GW10" s="17" t="str">
        <f t="shared" si="19"/>
        <v/>
      </c>
      <c r="GX10" s="17" t="str">
        <f t="shared" si="19"/>
        <v/>
      </c>
      <c r="GY10" s="17" t="str">
        <f t="shared" si="19"/>
        <v/>
      </c>
      <c r="GZ10" s="17" t="str">
        <f t="shared" si="19"/>
        <v/>
      </c>
      <c r="HA10" s="17" t="str">
        <f t="shared" si="19"/>
        <v/>
      </c>
      <c r="HB10" s="17" t="str">
        <f t="shared" si="19"/>
        <v/>
      </c>
      <c r="HC10" s="17" t="str">
        <f t="shared" si="20"/>
        <v/>
      </c>
      <c r="HD10" s="17" t="str">
        <f t="shared" si="20"/>
        <v/>
      </c>
      <c r="HE10" s="17" t="str">
        <f t="shared" si="20"/>
        <v/>
      </c>
      <c r="HF10" s="17" t="str">
        <f t="shared" si="20"/>
        <v/>
      </c>
      <c r="HG10" s="17" t="str">
        <f t="shared" si="20"/>
        <v/>
      </c>
      <c r="HH10" s="17" t="str">
        <f t="shared" si="20"/>
        <v/>
      </c>
      <c r="HI10" s="17" t="str">
        <f t="shared" si="20"/>
        <v/>
      </c>
      <c r="HJ10" s="17" t="str">
        <f t="shared" si="20"/>
        <v/>
      </c>
      <c r="HK10" s="17" t="str">
        <f t="shared" si="20"/>
        <v/>
      </c>
      <c r="HL10" s="17" t="str">
        <f t="shared" si="20"/>
        <v/>
      </c>
      <c r="HM10" s="17" t="str">
        <f t="shared" si="21"/>
        <v/>
      </c>
      <c r="HN10" s="17" t="str">
        <f t="shared" si="21"/>
        <v/>
      </c>
      <c r="HO10" s="17" t="str">
        <f t="shared" si="21"/>
        <v/>
      </c>
      <c r="HP10" s="17" t="str">
        <f t="shared" si="21"/>
        <v/>
      </c>
      <c r="HQ10" s="17" t="str">
        <f t="shared" si="21"/>
        <v/>
      </c>
      <c r="HR10" s="17" t="str">
        <f t="shared" si="21"/>
        <v/>
      </c>
      <c r="HS10" s="17" t="str">
        <f t="shared" si="21"/>
        <v/>
      </c>
      <c r="HT10" s="17" t="str">
        <f t="shared" si="21"/>
        <v/>
      </c>
      <c r="HU10" s="17" t="str">
        <f t="shared" si="21"/>
        <v/>
      </c>
      <c r="HV10" s="17" t="str">
        <f t="shared" si="21"/>
        <v/>
      </c>
      <c r="HW10" s="17" t="str">
        <f t="shared" si="21"/>
        <v/>
      </c>
      <c r="HX10" s="17" t="str">
        <f t="shared" si="21"/>
        <v/>
      </c>
      <c r="HY10" s="17" t="str">
        <f t="shared" si="21"/>
        <v/>
      </c>
      <c r="HZ10" s="17" t="str">
        <f t="shared" si="21"/>
        <v/>
      </c>
      <c r="IA10" s="17" t="str">
        <f t="shared" si="21"/>
        <v/>
      </c>
    </row>
    <row r="11" spans="1:235" ht="25.95" customHeight="1" x14ac:dyDescent="0.3">
      <c r="A11" s="7">
        <v>6</v>
      </c>
      <c r="B11" s="7">
        <f>Premissas!$B$6</f>
        <v>6</v>
      </c>
      <c r="C11" s="7">
        <f>5*Premissas!$B$8</f>
        <v>60.606060606060616</v>
      </c>
      <c r="D11" s="7">
        <f>C11+Premissas!$B$9</f>
        <v>108.60606060606062</v>
      </c>
      <c r="E11" s="7">
        <f>C11+Premissas!$B$11</f>
        <v>114.60606060606062</v>
      </c>
      <c r="F11" s="7">
        <f>E11+Premissas!$B$8</f>
        <v>126.72727272727275</v>
      </c>
      <c r="G11" s="7">
        <f>Premissas!$B$11</f>
        <v>54</v>
      </c>
      <c r="H11" s="7">
        <f>Premissas!$B$12</f>
        <v>3</v>
      </c>
      <c r="I11" s="7" t="s">
        <v>47</v>
      </c>
      <c r="J11" s="8" t="s">
        <v>48</v>
      </c>
      <c r="K11" s="17" t="str">
        <f t="shared" si="0"/>
        <v/>
      </c>
      <c r="L11" s="17" t="str">
        <f t="shared" si="0"/>
        <v/>
      </c>
      <c r="M11" s="17" t="str">
        <f t="shared" si="0"/>
        <v/>
      </c>
      <c r="N11" s="17" t="str">
        <f t="shared" si="0"/>
        <v/>
      </c>
      <c r="O11" s="17" t="str">
        <f t="shared" si="0"/>
        <v/>
      </c>
      <c r="P11" s="17" t="str">
        <f t="shared" si="0"/>
        <v/>
      </c>
      <c r="Q11" s="17" t="str">
        <f t="shared" si="0"/>
        <v/>
      </c>
      <c r="R11" s="17" t="str">
        <f t="shared" si="0"/>
        <v/>
      </c>
      <c r="S11" s="17" t="str">
        <f t="shared" si="0"/>
        <v/>
      </c>
      <c r="T11" s="17" t="str">
        <f t="shared" si="0"/>
        <v/>
      </c>
      <c r="U11" s="17" t="str">
        <f t="shared" si="1"/>
        <v/>
      </c>
      <c r="V11" s="17" t="str">
        <f t="shared" si="1"/>
        <v/>
      </c>
      <c r="W11" s="17" t="str">
        <f t="shared" si="1"/>
        <v/>
      </c>
      <c r="X11" s="17" t="str">
        <f t="shared" si="1"/>
        <v/>
      </c>
      <c r="Y11" s="17" t="str">
        <f t="shared" si="1"/>
        <v/>
      </c>
      <c r="Z11" s="17" t="str">
        <f t="shared" si="1"/>
        <v/>
      </c>
      <c r="AA11" s="17" t="str">
        <f t="shared" si="1"/>
        <v/>
      </c>
      <c r="AB11" s="17" t="str">
        <f t="shared" si="1"/>
        <v/>
      </c>
      <c r="AC11" s="17" t="str">
        <f t="shared" si="1"/>
        <v/>
      </c>
      <c r="AD11" s="17" t="str">
        <f t="shared" si="1"/>
        <v/>
      </c>
      <c r="AE11" s="17" t="str">
        <f t="shared" si="2"/>
        <v/>
      </c>
      <c r="AF11" s="17" t="str">
        <f t="shared" si="2"/>
        <v>R</v>
      </c>
      <c r="AG11" s="17" t="str">
        <f t="shared" si="2"/>
        <v>R</v>
      </c>
      <c r="AH11" s="17" t="str">
        <f t="shared" si="2"/>
        <v>R</v>
      </c>
      <c r="AI11" s="17" t="str">
        <f t="shared" si="2"/>
        <v>R</v>
      </c>
      <c r="AJ11" s="17" t="str">
        <f t="shared" si="2"/>
        <v>R</v>
      </c>
      <c r="AK11" s="17" t="str">
        <f t="shared" si="2"/>
        <v>R</v>
      </c>
      <c r="AL11" s="17" t="str">
        <f t="shared" si="2"/>
        <v>R</v>
      </c>
      <c r="AM11" s="17" t="str">
        <f t="shared" si="2"/>
        <v>R</v>
      </c>
      <c r="AN11" s="17" t="str">
        <f t="shared" si="2"/>
        <v>R</v>
      </c>
      <c r="AO11" s="17" t="str">
        <f t="shared" si="3"/>
        <v>R</v>
      </c>
      <c r="AP11" s="17" t="str">
        <f t="shared" si="3"/>
        <v>R</v>
      </c>
      <c r="AQ11" s="17" t="str">
        <f t="shared" si="3"/>
        <v>R</v>
      </c>
      <c r="AR11" s="17" t="str">
        <f t="shared" si="3"/>
        <v>R</v>
      </c>
      <c r="AS11" s="17" t="str">
        <f t="shared" si="3"/>
        <v>R</v>
      </c>
      <c r="AT11" s="17" t="str">
        <f t="shared" si="3"/>
        <v>R</v>
      </c>
      <c r="AU11" s="17" t="str">
        <f t="shared" si="3"/>
        <v>R</v>
      </c>
      <c r="AV11" s="17" t="str">
        <f t="shared" si="3"/>
        <v>P</v>
      </c>
      <c r="AW11" s="17" t="str">
        <f t="shared" si="3"/>
        <v>P</v>
      </c>
      <c r="AX11" s="17" t="str">
        <f t="shared" si="3"/>
        <v>T</v>
      </c>
      <c r="AY11" s="17" t="str">
        <f t="shared" si="4"/>
        <v>T</v>
      </c>
      <c r="AZ11" s="17" t="str">
        <f t="shared" si="4"/>
        <v>T</v>
      </c>
      <c r="BA11" s="17" t="str">
        <f t="shared" si="4"/>
        <v>T</v>
      </c>
      <c r="BB11" s="17" t="str">
        <f t="shared" si="4"/>
        <v/>
      </c>
      <c r="BC11" s="17" t="str">
        <f t="shared" si="4"/>
        <v/>
      </c>
      <c r="BD11" s="17" t="str">
        <f t="shared" si="4"/>
        <v/>
      </c>
      <c r="BE11" s="17" t="str">
        <f t="shared" si="4"/>
        <v/>
      </c>
      <c r="BF11" s="17" t="str">
        <f t="shared" si="4"/>
        <v/>
      </c>
      <c r="BG11" s="17" t="str">
        <f t="shared" si="4"/>
        <v/>
      </c>
      <c r="BH11" s="17" t="str">
        <f t="shared" si="4"/>
        <v/>
      </c>
      <c r="BI11" s="17" t="str">
        <f t="shared" si="5"/>
        <v/>
      </c>
      <c r="BJ11" s="17" t="str">
        <f t="shared" si="5"/>
        <v/>
      </c>
      <c r="BK11" s="17" t="str">
        <f t="shared" si="5"/>
        <v/>
      </c>
      <c r="BL11" s="17" t="str">
        <f t="shared" si="5"/>
        <v/>
      </c>
      <c r="BM11" s="17" t="str">
        <f t="shared" si="5"/>
        <v/>
      </c>
      <c r="BN11" s="17" t="str">
        <f t="shared" si="5"/>
        <v/>
      </c>
      <c r="BO11" s="17" t="str">
        <f t="shared" si="5"/>
        <v/>
      </c>
      <c r="BP11" s="17" t="str">
        <f t="shared" si="5"/>
        <v/>
      </c>
      <c r="BQ11" s="17" t="str">
        <f t="shared" si="5"/>
        <v/>
      </c>
      <c r="BR11" s="17" t="str">
        <f t="shared" si="5"/>
        <v/>
      </c>
      <c r="BS11" s="17" t="str">
        <f t="shared" si="6"/>
        <v/>
      </c>
      <c r="BT11" s="17" t="str">
        <f t="shared" si="6"/>
        <v/>
      </c>
      <c r="BU11" s="17" t="str">
        <f t="shared" si="6"/>
        <v/>
      </c>
      <c r="BV11" s="17" t="str">
        <f t="shared" si="6"/>
        <v/>
      </c>
      <c r="BW11" s="17" t="str">
        <f t="shared" si="6"/>
        <v/>
      </c>
      <c r="BX11" s="17" t="str">
        <f t="shared" si="6"/>
        <v/>
      </c>
      <c r="BY11" s="17" t="str">
        <f t="shared" si="6"/>
        <v/>
      </c>
      <c r="BZ11" s="17" t="str">
        <f t="shared" si="6"/>
        <v/>
      </c>
      <c r="CA11" s="17" t="str">
        <f t="shared" si="6"/>
        <v/>
      </c>
      <c r="CB11" s="17" t="str">
        <f t="shared" si="6"/>
        <v/>
      </c>
      <c r="CC11" s="17" t="str">
        <f t="shared" si="7"/>
        <v/>
      </c>
      <c r="CD11" s="17" t="str">
        <f t="shared" si="7"/>
        <v/>
      </c>
      <c r="CE11" s="17" t="str">
        <f t="shared" si="7"/>
        <v/>
      </c>
      <c r="CF11" s="17" t="str">
        <f t="shared" si="7"/>
        <v/>
      </c>
      <c r="CG11" s="17" t="str">
        <f t="shared" si="7"/>
        <v/>
      </c>
      <c r="CH11" s="17" t="str">
        <f t="shared" si="7"/>
        <v/>
      </c>
      <c r="CI11" s="17" t="str">
        <f t="shared" si="7"/>
        <v/>
      </c>
      <c r="CJ11" s="17" t="str">
        <f t="shared" si="7"/>
        <v/>
      </c>
      <c r="CK11" s="17" t="str">
        <f t="shared" si="7"/>
        <v/>
      </c>
      <c r="CL11" s="17" t="str">
        <f t="shared" si="7"/>
        <v/>
      </c>
      <c r="CM11" s="17" t="str">
        <f t="shared" si="8"/>
        <v/>
      </c>
      <c r="CN11" s="17" t="str">
        <f t="shared" si="8"/>
        <v/>
      </c>
      <c r="CO11" s="17" t="str">
        <f t="shared" si="8"/>
        <v/>
      </c>
      <c r="CP11" s="17" t="str">
        <f t="shared" si="8"/>
        <v/>
      </c>
      <c r="CQ11" s="17" t="str">
        <f t="shared" si="8"/>
        <v/>
      </c>
      <c r="CR11" s="17" t="str">
        <f t="shared" si="8"/>
        <v/>
      </c>
      <c r="CS11" s="17" t="str">
        <f t="shared" si="8"/>
        <v/>
      </c>
      <c r="CT11" s="17" t="str">
        <f t="shared" si="8"/>
        <v/>
      </c>
      <c r="CU11" s="17" t="str">
        <f t="shared" si="8"/>
        <v/>
      </c>
      <c r="CV11" s="17" t="str">
        <f t="shared" si="8"/>
        <v/>
      </c>
      <c r="CW11" s="17" t="str">
        <f t="shared" si="9"/>
        <v/>
      </c>
      <c r="CX11" s="17" t="str">
        <f t="shared" si="9"/>
        <v/>
      </c>
      <c r="CY11" s="17" t="str">
        <f t="shared" si="9"/>
        <v/>
      </c>
      <c r="CZ11" s="17" t="str">
        <f t="shared" si="9"/>
        <v/>
      </c>
      <c r="DA11" s="17" t="str">
        <f t="shared" si="9"/>
        <v/>
      </c>
      <c r="DB11" s="17" t="str">
        <f t="shared" si="9"/>
        <v/>
      </c>
      <c r="DC11" s="17" t="str">
        <f t="shared" si="9"/>
        <v/>
      </c>
      <c r="DD11" s="17" t="str">
        <f t="shared" si="9"/>
        <v/>
      </c>
      <c r="DE11" s="17" t="str">
        <f t="shared" si="9"/>
        <v/>
      </c>
      <c r="DF11" s="17" t="str">
        <f t="shared" si="9"/>
        <v/>
      </c>
      <c r="DG11" s="17" t="str">
        <f t="shared" si="10"/>
        <v/>
      </c>
      <c r="DH11" s="17" t="str">
        <f t="shared" si="10"/>
        <v/>
      </c>
      <c r="DI11" s="17" t="str">
        <f t="shared" si="10"/>
        <v/>
      </c>
      <c r="DJ11" s="17" t="str">
        <f t="shared" si="10"/>
        <v/>
      </c>
      <c r="DK11" s="17" t="str">
        <f t="shared" si="10"/>
        <v/>
      </c>
      <c r="DL11" s="17" t="str">
        <f t="shared" si="10"/>
        <v/>
      </c>
      <c r="DM11" s="17" t="str">
        <f t="shared" si="10"/>
        <v/>
      </c>
      <c r="DN11" s="17" t="str">
        <f t="shared" si="10"/>
        <v/>
      </c>
      <c r="DO11" s="17" t="str">
        <f t="shared" si="10"/>
        <v/>
      </c>
      <c r="DP11" s="17" t="str">
        <f t="shared" si="10"/>
        <v/>
      </c>
      <c r="DQ11" s="17" t="str">
        <f t="shared" si="11"/>
        <v/>
      </c>
      <c r="DR11" s="17" t="str">
        <f t="shared" si="11"/>
        <v/>
      </c>
      <c r="DS11" s="17" t="str">
        <f t="shared" si="11"/>
        <v/>
      </c>
      <c r="DT11" s="17" t="str">
        <f t="shared" si="11"/>
        <v/>
      </c>
      <c r="DU11" s="17" t="str">
        <f t="shared" si="11"/>
        <v/>
      </c>
      <c r="DV11" s="17" t="str">
        <f t="shared" si="11"/>
        <v/>
      </c>
      <c r="DW11" s="17" t="str">
        <f t="shared" si="11"/>
        <v/>
      </c>
      <c r="DX11" s="17" t="str">
        <f t="shared" si="11"/>
        <v/>
      </c>
      <c r="DY11" s="17" t="str">
        <f t="shared" si="11"/>
        <v/>
      </c>
      <c r="DZ11" s="17" t="str">
        <f t="shared" si="11"/>
        <v/>
      </c>
      <c r="EA11" s="17" t="str">
        <f t="shared" si="12"/>
        <v/>
      </c>
      <c r="EB11" s="17" t="str">
        <f t="shared" si="12"/>
        <v/>
      </c>
      <c r="EC11" s="17" t="str">
        <f t="shared" si="12"/>
        <v/>
      </c>
      <c r="ED11" s="17" t="str">
        <f t="shared" si="12"/>
        <v/>
      </c>
      <c r="EE11" s="17" t="str">
        <f t="shared" si="12"/>
        <v/>
      </c>
      <c r="EF11" s="17" t="str">
        <f t="shared" si="12"/>
        <v/>
      </c>
      <c r="EG11" s="17" t="str">
        <f t="shared" si="12"/>
        <v/>
      </c>
      <c r="EH11" s="17" t="str">
        <f t="shared" si="12"/>
        <v/>
      </c>
      <c r="EI11" s="17" t="str">
        <f t="shared" si="12"/>
        <v/>
      </c>
      <c r="EJ11" s="17" t="str">
        <f t="shared" si="12"/>
        <v/>
      </c>
      <c r="EK11" s="17" t="str">
        <f t="shared" si="13"/>
        <v/>
      </c>
      <c r="EL11" s="17" t="str">
        <f t="shared" si="13"/>
        <v/>
      </c>
      <c r="EM11" s="17" t="str">
        <f t="shared" si="13"/>
        <v/>
      </c>
      <c r="EN11" s="17" t="str">
        <f t="shared" si="13"/>
        <v/>
      </c>
      <c r="EO11" s="17" t="str">
        <f t="shared" si="13"/>
        <v/>
      </c>
      <c r="EP11" s="17" t="str">
        <f t="shared" si="13"/>
        <v/>
      </c>
      <c r="EQ11" s="17" t="str">
        <f t="shared" si="13"/>
        <v/>
      </c>
      <c r="ER11" s="17" t="str">
        <f t="shared" si="13"/>
        <v/>
      </c>
      <c r="ES11" s="17" t="str">
        <f t="shared" si="13"/>
        <v/>
      </c>
      <c r="ET11" s="17" t="str">
        <f t="shared" si="13"/>
        <v/>
      </c>
      <c r="EU11" s="17" t="str">
        <f t="shared" si="14"/>
        <v/>
      </c>
      <c r="EV11" s="17" t="str">
        <f t="shared" si="14"/>
        <v/>
      </c>
      <c r="EW11" s="17" t="str">
        <f t="shared" si="14"/>
        <v/>
      </c>
      <c r="EX11" s="17" t="str">
        <f t="shared" si="14"/>
        <v/>
      </c>
      <c r="EY11" s="17" t="str">
        <f t="shared" si="14"/>
        <v/>
      </c>
      <c r="EZ11" s="17" t="str">
        <f t="shared" si="14"/>
        <v/>
      </c>
      <c r="FA11" s="17" t="str">
        <f t="shared" si="14"/>
        <v/>
      </c>
      <c r="FB11" s="17" t="str">
        <f t="shared" si="14"/>
        <v/>
      </c>
      <c r="FC11" s="17" t="str">
        <f t="shared" si="14"/>
        <v/>
      </c>
      <c r="FD11" s="17" t="str">
        <f t="shared" si="14"/>
        <v/>
      </c>
      <c r="FE11" s="17" t="str">
        <f t="shared" si="15"/>
        <v/>
      </c>
      <c r="FF11" s="17" t="str">
        <f t="shared" si="15"/>
        <v/>
      </c>
      <c r="FG11" s="17" t="str">
        <f t="shared" si="15"/>
        <v/>
      </c>
      <c r="FH11" s="17" t="str">
        <f t="shared" si="15"/>
        <v/>
      </c>
      <c r="FI11" s="17" t="str">
        <f t="shared" si="15"/>
        <v/>
      </c>
      <c r="FJ11" s="17" t="str">
        <f t="shared" si="15"/>
        <v/>
      </c>
      <c r="FK11" s="17" t="str">
        <f t="shared" si="15"/>
        <v/>
      </c>
      <c r="FL11" s="17" t="str">
        <f t="shared" si="15"/>
        <v/>
      </c>
      <c r="FM11" s="17" t="str">
        <f t="shared" si="15"/>
        <v/>
      </c>
      <c r="FN11" s="17" t="str">
        <f t="shared" si="15"/>
        <v/>
      </c>
      <c r="FO11" s="17" t="str">
        <f t="shared" si="16"/>
        <v/>
      </c>
      <c r="FP11" s="17" t="str">
        <f t="shared" si="16"/>
        <v/>
      </c>
      <c r="FQ11" s="17" t="str">
        <f t="shared" si="16"/>
        <v/>
      </c>
      <c r="FR11" s="17" t="str">
        <f t="shared" si="16"/>
        <v/>
      </c>
      <c r="FS11" s="17" t="str">
        <f t="shared" si="16"/>
        <v/>
      </c>
      <c r="FT11" s="17" t="str">
        <f t="shared" si="16"/>
        <v/>
      </c>
      <c r="FU11" s="17" t="str">
        <f t="shared" si="16"/>
        <v/>
      </c>
      <c r="FV11" s="17" t="str">
        <f t="shared" si="16"/>
        <v/>
      </c>
      <c r="FW11" s="17" t="str">
        <f t="shared" si="16"/>
        <v/>
      </c>
      <c r="FX11" s="17" t="str">
        <f t="shared" si="16"/>
        <v/>
      </c>
      <c r="FY11" s="17" t="str">
        <f t="shared" si="17"/>
        <v/>
      </c>
      <c r="FZ11" s="17" t="str">
        <f t="shared" si="17"/>
        <v/>
      </c>
      <c r="GA11" s="17" t="str">
        <f t="shared" si="17"/>
        <v/>
      </c>
      <c r="GB11" s="17" t="str">
        <f t="shared" si="17"/>
        <v/>
      </c>
      <c r="GC11" s="17" t="str">
        <f t="shared" si="17"/>
        <v/>
      </c>
      <c r="GD11" s="17" t="str">
        <f t="shared" si="17"/>
        <v/>
      </c>
      <c r="GE11" s="17" t="str">
        <f t="shared" si="17"/>
        <v/>
      </c>
      <c r="GF11" s="17" t="str">
        <f t="shared" si="17"/>
        <v/>
      </c>
      <c r="GG11" s="17" t="str">
        <f t="shared" si="17"/>
        <v/>
      </c>
      <c r="GH11" s="17" t="str">
        <f t="shared" si="17"/>
        <v/>
      </c>
      <c r="GI11" s="17" t="str">
        <f t="shared" si="18"/>
        <v/>
      </c>
      <c r="GJ11" s="17" t="str">
        <f t="shared" si="18"/>
        <v/>
      </c>
      <c r="GK11" s="17" t="str">
        <f t="shared" si="18"/>
        <v/>
      </c>
      <c r="GL11" s="17" t="str">
        <f t="shared" si="18"/>
        <v/>
      </c>
      <c r="GM11" s="17" t="str">
        <f t="shared" si="18"/>
        <v/>
      </c>
      <c r="GN11" s="17" t="str">
        <f t="shared" si="18"/>
        <v/>
      </c>
      <c r="GO11" s="17" t="str">
        <f t="shared" si="18"/>
        <v/>
      </c>
      <c r="GP11" s="17" t="str">
        <f t="shared" si="18"/>
        <v/>
      </c>
      <c r="GQ11" s="17" t="str">
        <f t="shared" si="18"/>
        <v/>
      </c>
      <c r="GR11" s="17" t="str">
        <f t="shared" si="18"/>
        <v/>
      </c>
      <c r="GS11" s="17" t="str">
        <f t="shared" si="19"/>
        <v/>
      </c>
      <c r="GT11" s="17" t="str">
        <f t="shared" si="19"/>
        <v/>
      </c>
      <c r="GU11" s="17" t="str">
        <f t="shared" si="19"/>
        <v/>
      </c>
      <c r="GV11" s="17" t="str">
        <f t="shared" si="19"/>
        <v/>
      </c>
      <c r="GW11" s="17" t="str">
        <f t="shared" si="19"/>
        <v/>
      </c>
      <c r="GX11" s="17" t="str">
        <f t="shared" si="19"/>
        <v/>
      </c>
      <c r="GY11" s="17" t="str">
        <f t="shared" si="19"/>
        <v/>
      </c>
      <c r="GZ11" s="17" t="str">
        <f t="shared" si="19"/>
        <v/>
      </c>
      <c r="HA11" s="17" t="str">
        <f t="shared" si="19"/>
        <v/>
      </c>
      <c r="HB11" s="17" t="str">
        <f t="shared" si="19"/>
        <v/>
      </c>
      <c r="HC11" s="17" t="str">
        <f t="shared" si="20"/>
        <v/>
      </c>
      <c r="HD11" s="17" t="str">
        <f t="shared" si="20"/>
        <v/>
      </c>
      <c r="HE11" s="17" t="str">
        <f t="shared" si="20"/>
        <v/>
      </c>
      <c r="HF11" s="17" t="str">
        <f t="shared" si="20"/>
        <v/>
      </c>
      <c r="HG11" s="17" t="str">
        <f t="shared" si="20"/>
        <v/>
      </c>
      <c r="HH11" s="17" t="str">
        <f t="shared" si="20"/>
        <v/>
      </c>
      <c r="HI11" s="17" t="str">
        <f t="shared" si="20"/>
        <v/>
      </c>
      <c r="HJ11" s="17" t="str">
        <f t="shared" si="20"/>
        <v/>
      </c>
      <c r="HK11" s="17" t="str">
        <f t="shared" si="20"/>
        <v/>
      </c>
      <c r="HL11" s="17" t="str">
        <f t="shared" si="20"/>
        <v/>
      </c>
      <c r="HM11" s="17" t="str">
        <f t="shared" si="21"/>
        <v/>
      </c>
      <c r="HN11" s="17" t="str">
        <f t="shared" si="21"/>
        <v/>
      </c>
      <c r="HO11" s="17" t="str">
        <f t="shared" si="21"/>
        <v/>
      </c>
      <c r="HP11" s="17" t="str">
        <f t="shared" si="21"/>
        <v/>
      </c>
      <c r="HQ11" s="17" t="str">
        <f t="shared" si="21"/>
        <v/>
      </c>
      <c r="HR11" s="17" t="str">
        <f t="shared" si="21"/>
        <v/>
      </c>
      <c r="HS11" s="17" t="str">
        <f t="shared" si="21"/>
        <v/>
      </c>
      <c r="HT11" s="17" t="str">
        <f t="shared" si="21"/>
        <v/>
      </c>
      <c r="HU11" s="17" t="str">
        <f t="shared" si="21"/>
        <v/>
      </c>
      <c r="HV11" s="17" t="str">
        <f t="shared" si="21"/>
        <v/>
      </c>
      <c r="HW11" s="17" t="str">
        <f t="shared" si="21"/>
        <v/>
      </c>
      <c r="HX11" s="17" t="str">
        <f t="shared" si="21"/>
        <v/>
      </c>
      <c r="HY11" s="17" t="str">
        <f t="shared" si="21"/>
        <v/>
      </c>
      <c r="HZ11" s="17" t="str">
        <f t="shared" si="21"/>
        <v/>
      </c>
      <c r="IA11" s="17" t="str">
        <f t="shared" si="21"/>
        <v/>
      </c>
    </row>
    <row r="12" spans="1:235" ht="25.95" customHeight="1" x14ac:dyDescent="0.3">
      <c r="A12" s="7">
        <v>7</v>
      </c>
      <c r="B12" s="7">
        <f>Premissas!$B$6</f>
        <v>6</v>
      </c>
      <c r="C12" s="7">
        <f>6*Premissas!$B$8</f>
        <v>72.727272727272734</v>
      </c>
      <c r="D12" s="7">
        <f>C12+Premissas!$B$9</f>
        <v>120.72727272727273</v>
      </c>
      <c r="E12" s="7">
        <f>C12+Premissas!$B$11</f>
        <v>126.72727272727273</v>
      </c>
      <c r="F12" s="7">
        <f>E12+Premissas!$B$8</f>
        <v>138.84848484848484</v>
      </c>
      <c r="G12" s="7">
        <f>Premissas!$B$11</f>
        <v>54</v>
      </c>
      <c r="H12" s="7">
        <f>Premissas!$B$12</f>
        <v>3</v>
      </c>
      <c r="I12" s="7" t="s">
        <v>47</v>
      </c>
      <c r="J12" s="8" t="s">
        <v>48</v>
      </c>
      <c r="K12" s="17" t="str">
        <f t="shared" si="0"/>
        <v/>
      </c>
      <c r="L12" s="17" t="str">
        <f t="shared" si="0"/>
        <v/>
      </c>
      <c r="M12" s="17" t="str">
        <f t="shared" si="0"/>
        <v/>
      </c>
      <c r="N12" s="17" t="str">
        <f t="shared" si="0"/>
        <v/>
      </c>
      <c r="O12" s="17" t="str">
        <f t="shared" si="0"/>
        <v/>
      </c>
      <c r="P12" s="17" t="str">
        <f t="shared" si="0"/>
        <v/>
      </c>
      <c r="Q12" s="17" t="str">
        <f t="shared" si="0"/>
        <v/>
      </c>
      <c r="R12" s="17" t="str">
        <f t="shared" si="0"/>
        <v/>
      </c>
      <c r="S12" s="17" t="str">
        <f t="shared" si="0"/>
        <v/>
      </c>
      <c r="T12" s="17" t="str">
        <f t="shared" si="0"/>
        <v/>
      </c>
      <c r="U12" s="17" t="str">
        <f t="shared" si="1"/>
        <v/>
      </c>
      <c r="V12" s="17" t="str">
        <f t="shared" si="1"/>
        <v/>
      </c>
      <c r="W12" s="17" t="str">
        <f t="shared" si="1"/>
        <v/>
      </c>
      <c r="X12" s="17" t="str">
        <f t="shared" si="1"/>
        <v/>
      </c>
      <c r="Y12" s="17" t="str">
        <f t="shared" si="1"/>
        <v/>
      </c>
      <c r="Z12" s="17" t="str">
        <f t="shared" si="1"/>
        <v/>
      </c>
      <c r="AA12" s="17" t="str">
        <f t="shared" si="1"/>
        <v/>
      </c>
      <c r="AB12" s="17" t="str">
        <f t="shared" si="1"/>
        <v/>
      </c>
      <c r="AC12" s="17" t="str">
        <f t="shared" si="1"/>
        <v/>
      </c>
      <c r="AD12" s="17" t="str">
        <f t="shared" si="1"/>
        <v/>
      </c>
      <c r="AE12" s="17" t="str">
        <f t="shared" si="2"/>
        <v/>
      </c>
      <c r="AF12" s="17" t="str">
        <f t="shared" si="2"/>
        <v/>
      </c>
      <c r="AG12" s="17" t="str">
        <f t="shared" si="2"/>
        <v/>
      </c>
      <c r="AH12" s="17" t="str">
        <f t="shared" si="2"/>
        <v/>
      </c>
      <c r="AI12" s="17" t="str">
        <f t="shared" si="2"/>
        <v/>
      </c>
      <c r="AJ12" s="17" t="str">
        <f t="shared" si="2"/>
        <v>R</v>
      </c>
      <c r="AK12" s="17" t="str">
        <f t="shared" si="2"/>
        <v>R</v>
      </c>
      <c r="AL12" s="17" t="str">
        <f t="shared" si="2"/>
        <v>R</v>
      </c>
      <c r="AM12" s="17" t="str">
        <f t="shared" si="2"/>
        <v>R</v>
      </c>
      <c r="AN12" s="17" t="str">
        <f t="shared" si="2"/>
        <v>R</v>
      </c>
      <c r="AO12" s="17" t="str">
        <f t="shared" si="3"/>
        <v>R</v>
      </c>
      <c r="AP12" s="17" t="str">
        <f t="shared" si="3"/>
        <v>R</v>
      </c>
      <c r="AQ12" s="17" t="str">
        <f t="shared" si="3"/>
        <v>R</v>
      </c>
      <c r="AR12" s="17" t="str">
        <f t="shared" si="3"/>
        <v>R</v>
      </c>
      <c r="AS12" s="17" t="str">
        <f t="shared" si="3"/>
        <v>R</v>
      </c>
      <c r="AT12" s="17" t="str">
        <f t="shared" si="3"/>
        <v>R</v>
      </c>
      <c r="AU12" s="17" t="str">
        <f t="shared" si="3"/>
        <v>R</v>
      </c>
      <c r="AV12" s="17" t="str">
        <f t="shared" si="3"/>
        <v>R</v>
      </c>
      <c r="AW12" s="17" t="str">
        <f t="shared" si="3"/>
        <v>R</v>
      </c>
      <c r="AX12" s="17" t="str">
        <f t="shared" si="3"/>
        <v>R</v>
      </c>
      <c r="AY12" s="17" t="str">
        <f t="shared" si="4"/>
        <v>R</v>
      </c>
      <c r="AZ12" s="17" t="str">
        <f t="shared" si="4"/>
        <v>P</v>
      </c>
      <c r="BA12" s="17" t="str">
        <f t="shared" si="4"/>
        <v>P</v>
      </c>
      <c r="BB12" s="17" t="str">
        <f t="shared" si="4"/>
        <v>T</v>
      </c>
      <c r="BC12" s="17" t="str">
        <f t="shared" si="4"/>
        <v>T</v>
      </c>
      <c r="BD12" s="17" t="str">
        <f t="shared" si="4"/>
        <v>T</v>
      </c>
      <c r="BE12" s="17" t="str">
        <f t="shared" si="4"/>
        <v>T</v>
      </c>
      <c r="BF12" s="17" t="str">
        <f t="shared" si="4"/>
        <v/>
      </c>
      <c r="BG12" s="17" t="str">
        <f t="shared" si="4"/>
        <v/>
      </c>
      <c r="BH12" s="17" t="str">
        <f t="shared" si="4"/>
        <v/>
      </c>
      <c r="BI12" s="17" t="str">
        <f t="shared" si="5"/>
        <v/>
      </c>
      <c r="BJ12" s="17" t="str">
        <f t="shared" si="5"/>
        <v/>
      </c>
      <c r="BK12" s="17" t="str">
        <f t="shared" si="5"/>
        <v/>
      </c>
      <c r="BL12" s="17" t="str">
        <f t="shared" si="5"/>
        <v/>
      </c>
      <c r="BM12" s="17" t="str">
        <f t="shared" si="5"/>
        <v/>
      </c>
      <c r="BN12" s="17" t="str">
        <f t="shared" si="5"/>
        <v/>
      </c>
      <c r="BO12" s="17" t="str">
        <f t="shared" si="5"/>
        <v/>
      </c>
      <c r="BP12" s="17" t="str">
        <f t="shared" si="5"/>
        <v/>
      </c>
      <c r="BQ12" s="17" t="str">
        <f t="shared" si="5"/>
        <v/>
      </c>
      <c r="BR12" s="17" t="str">
        <f t="shared" si="5"/>
        <v/>
      </c>
      <c r="BS12" s="17" t="str">
        <f t="shared" si="6"/>
        <v/>
      </c>
      <c r="BT12" s="17" t="str">
        <f t="shared" si="6"/>
        <v/>
      </c>
      <c r="BU12" s="17" t="str">
        <f t="shared" si="6"/>
        <v/>
      </c>
      <c r="BV12" s="17" t="str">
        <f t="shared" si="6"/>
        <v/>
      </c>
      <c r="BW12" s="17" t="str">
        <f t="shared" si="6"/>
        <v/>
      </c>
      <c r="BX12" s="17" t="str">
        <f t="shared" si="6"/>
        <v/>
      </c>
      <c r="BY12" s="17" t="str">
        <f t="shared" si="6"/>
        <v/>
      </c>
      <c r="BZ12" s="17" t="str">
        <f t="shared" si="6"/>
        <v/>
      </c>
      <c r="CA12" s="17" t="str">
        <f t="shared" si="6"/>
        <v/>
      </c>
      <c r="CB12" s="17" t="str">
        <f t="shared" si="6"/>
        <v/>
      </c>
      <c r="CC12" s="17" t="str">
        <f t="shared" si="7"/>
        <v/>
      </c>
      <c r="CD12" s="17" t="str">
        <f t="shared" si="7"/>
        <v/>
      </c>
      <c r="CE12" s="17" t="str">
        <f t="shared" si="7"/>
        <v/>
      </c>
      <c r="CF12" s="17" t="str">
        <f t="shared" si="7"/>
        <v/>
      </c>
      <c r="CG12" s="17" t="str">
        <f t="shared" si="7"/>
        <v/>
      </c>
      <c r="CH12" s="17" t="str">
        <f t="shared" si="7"/>
        <v/>
      </c>
      <c r="CI12" s="17" t="str">
        <f t="shared" si="7"/>
        <v/>
      </c>
      <c r="CJ12" s="17" t="str">
        <f t="shared" si="7"/>
        <v/>
      </c>
      <c r="CK12" s="17" t="str">
        <f t="shared" si="7"/>
        <v/>
      </c>
      <c r="CL12" s="17" t="str">
        <f t="shared" si="7"/>
        <v/>
      </c>
      <c r="CM12" s="17" t="str">
        <f t="shared" si="8"/>
        <v/>
      </c>
      <c r="CN12" s="17" t="str">
        <f t="shared" si="8"/>
        <v/>
      </c>
      <c r="CO12" s="17" t="str">
        <f t="shared" si="8"/>
        <v/>
      </c>
      <c r="CP12" s="17" t="str">
        <f t="shared" si="8"/>
        <v/>
      </c>
      <c r="CQ12" s="17" t="str">
        <f t="shared" si="8"/>
        <v/>
      </c>
      <c r="CR12" s="17" t="str">
        <f t="shared" si="8"/>
        <v/>
      </c>
      <c r="CS12" s="17" t="str">
        <f t="shared" si="8"/>
        <v/>
      </c>
      <c r="CT12" s="17" t="str">
        <f t="shared" si="8"/>
        <v/>
      </c>
      <c r="CU12" s="17" t="str">
        <f t="shared" si="8"/>
        <v/>
      </c>
      <c r="CV12" s="17" t="str">
        <f t="shared" si="8"/>
        <v/>
      </c>
      <c r="CW12" s="17" t="str">
        <f t="shared" si="9"/>
        <v/>
      </c>
      <c r="CX12" s="17" t="str">
        <f t="shared" si="9"/>
        <v/>
      </c>
      <c r="CY12" s="17" t="str">
        <f t="shared" si="9"/>
        <v/>
      </c>
      <c r="CZ12" s="17" t="str">
        <f t="shared" si="9"/>
        <v/>
      </c>
      <c r="DA12" s="17" t="str">
        <f t="shared" si="9"/>
        <v/>
      </c>
      <c r="DB12" s="17" t="str">
        <f t="shared" si="9"/>
        <v/>
      </c>
      <c r="DC12" s="17" t="str">
        <f t="shared" si="9"/>
        <v/>
      </c>
      <c r="DD12" s="17" t="str">
        <f t="shared" si="9"/>
        <v/>
      </c>
      <c r="DE12" s="17" t="str">
        <f t="shared" si="9"/>
        <v/>
      </c>
      <c r="DF12" s="17" t="str">
        <f t="shared" si="9"/>
        <v/>
      </c>
      <c r="DG12" s="17" t="str">
        <f t="shared" si="10"/>
        <v/>
      </c>
      <c r="DH12" s="17" t="str">
        <f t="shared" si="10"/>
        <v/>
      </c>
      <c r="DI12" s="17" t="str">
        <f t="shared" si="10"/>
        <v/>
      </c>
      <c r="DJ12" s="17" t="str">
        <f t="shared" si="10"/>
        <v/>
      </c>
      <c r="DK12" s="17" t="str">
        <f t="shared" si="10"/>
        <v/>
      </c>
      <c r="DL12" s="17" t="str">
        <f t="shared" si="10"/>
        <v/>
      </c>
      <c r="DM12" s="17" t="str">
        <f t="shared" si="10"/>
        <v/>
      </c>
      <c r="DN12" s="17" t="str">
        <f t="shared" si="10"/>
        <v/>
      </c>
      <c r="DO12" s="17" t="str">
        <f t="shared" si="10"/>
        <v/>
      </c>
      <c r="DP12" s="17" t="str">
        <f t="shared" si="10"/>
        <v/>
      </c>
      <c r="DQ12" s="17" t="str">
        <f t="shared" si="11"/>
        <v/>
      </c>
      <c r="DR12" s="17" t="str">
        <f t="shared" si="11"/>
        <v/>
      </c>
      <c r="DS12" s="17" t="str">
        <f t="shared" si="11"/>
        <v/>
      </c>
      <c r="DT12" s="17" t="str">
        <f t="shared" si="11"/>
        <v/>
      </c>
      <c r="DU12" s="17" t="str">
        <f t="shared" si="11"/>
        <v/>
      </c>
      <c r="DV12" s="17" t="str">
        <f t="shared" si="11"/>
        <v/>
      </c>
      <c r="DW12" s="17" t="str">
        <f t="shared" si="11"/>
        <v/>
      </c>
      <c r="DX12" s="17" t="str">
        <f t="shared" si="11"/>
        <v/>
      </c>
      <c r="DY12" s="17" t="str">
        <f t="shared" si="11"/>
        <v/>
      </c>
      <c r="DZ12" s="17" t="str">
        <f t="shared" si="11"/>
        <v/>
      </c>
      <c r="EA12" s="17" t="str">
        <f t="shared" si="12"/>
        <v/>
      </c>
      <c r="EB12" s="17" t="str">
        <f t="shared" si="12"/>
        <v/>
      </c>
      <c r="EC12" s="17" t="str">
        <f t="shared" si="12"/>
        <v/>
      </c>
      <c r="ED12" s="17" t="str">
        <f t="shared" si="12"/>
        <v/>
      </c>
      <c r="EE12" s="17" t="str">
        <f t="shared" si="12"/>
        <v/>
      </c>
      <c r="EF12" s="17" t="str">
        <f t="shared" si="12"/>
        <v/>
      </c>
      <c r="EG12" s="17" t="str">
        <f t="shared" si="12"/>
        <v/>
      </c>
      <c r="EH12" s="17" t="str">
        <f t="shared" si="12"/>
        <v/>
      </c>
      <c r="EI12" s="17" t="str">
        <f t="shared" si="12"/>
        <v/>
      </c>
      <c r="EJ12" s="17" t="str">
        <f t="shared" si="12"/>
        <v/>
      </c>
      <c r="EK12" s="17" t="str">
        <f t="shared" si="13"/>
        <v/>
      </c>
      <c r="EL12" s="17" t="str">
        <f t="shared" si="13"/>
        <v/>
      </c>
      <c r="EM12" s="17" t="str">
        <f t="shared" si="13"/>
        <v/>
      </c>
      <c r="EN12" s="17" t="str">
        <f t="shared" si="13"/>
        <v/>
      </c>
      <c r="EO12" s="17" t="str">
        <f t="shared" si="13"/>
        <v/>
      </c>
      <c r="EP12" s="17" t="str">
        <f t="shared" si="13"/>
        <v/>
      </c>
      <c r="EQ12" s="17" t="str">
        <f t="shared" si="13"/>
        <v/>
      </c>
      <c r="ER12" s="17" t="str">
        <f t="shared" si="13"/>
        <v/>
      </c>
      <c r="ES12" s="17" t="str">
        <f t="shared" si="13"/>
        <v/>
      </c>
      <c r="ET12" s="17" t="str">
        <f t="shared" si="13"/>
        <v/>
      </c>
      <c r="EU12" s="17" t="str">
        <f t="shared" si="14"/>
        <v/>
      </c>
      <c r="EV12" s="17" t="str">
        <f t="shared" si="14"/>
        <v/>
      </c>
      <c r="EW12" s="17" t="str">
        <f t="shared" si="14"/>
        <v/>
      </c>
      <c r="EX12" s="17" t="str">
        <f t="shared" si="14"/>
        <v/>
      </c>
      <c r="EY12" s="17" t="str">
        <f t="shared" si="14"/>
        <v/>
      </c>
      <c r="EZ12" s="17" t="str">
        <f t="shared" si="14"/>
        <v/>
      </c>
      <c r="FA12" s="17" t="str">
        <f t="shared" si="14"/>
        <v/>
      </c>
      <c r="FB12" s="17" t="str">
        <f t="shared" si="14"/>
        <v/>
      </c>
      <c r="FC12" s="17" t="str">
        <f t="shared" si="14"/>
        <v/>
      </c>
      <c r="FD12" s="17" t="str">
        <f t="shared" si="14"/>
        <v/>
      </c>
      <c r="FE12" s="17" t="str">
        <f t="shared" si="15"/>
        <v/>
      </c>
      <c r="FF12" s="17" t="str">
        <f t="shared" si="15"/>
        <v/>
      </c>
      <c r="FG12" s="17" t="str">
        <f t="shared" si="15"/>
        <v/>
      </c>
      <c r="FH12" s="17" t="str">
        <f t="shared" si="15"/>
        <v/>
      </c>
      <c r="FI12" s="17" t="str">
        <f t="shared" si="15"/>
        <v/>
      </c>
      <c r="FJ12" s="17" t="str">
        <f t="shared" si="15"/>
        <v/>
      </c>
      <c r="FK12" s="17" t="str">
        <f t="shared" si="15"/>
        <v/>
      </c>
      <c r="FL12" s="17" t="str">
        <f t="shared" si="15"/>
        <v/>
      </c>
      <c r="FM12" s="17" t="str">
        <f t="shared" si="15"/>
        <v/>
      </c>
      <c r="FN12" s="17" t="str">
        <f t="shared" si="15"/>
        <v/>
      </c>
      <c r="FO12" s="17" t="str">
        <f t="shared" si="16"/>
        <v/>
      </c>
      <c r="FP12" s="17" t="str">
        <f t="shared" si="16"/>
        <v/>
      </c>
      <c r="FQ12" s="17" t="str">
        <f t="shared" si="16"/>
        <v/>
      </c>
      <c r="FR12" s="17" t="str">
        <f t="shared" si="16"/>
        <v/>
      </c>
      <c r="FS12" s="17" t="str">
        <f t="shared" si="16"/>
        <v/>
      </c>
      <c r="FT12" s="17" t="str">
        <f t="shared" si="16"/>
        <v/>
      </c>
      <c r="FU12" s="17" t="str">
        <f t="shared" si="16"/>
        <v/>
      </c>
      <c r="FV12" s="17" t="str">
        <f t="shared" si="16"/>
        <v/>
      </c>
      <c r="FW12" s="17" t="str">
        <f t="shared" si="16"/>
        <v/>
      </c>
      <c r="FX12" s="17" t="str">
        <f t="shared" si="16"/>
        <v/>
      </c>
      <c r="FY12" s="17" t="str">
        <f t="shared" si="17"/>
        <v/>
      </c>
      <c r="FZ12" s="17" t="str">
        <f t="shared" si="17"/>
        <v/>
      </c>
      <c r="GA12" s="17" t="str">
        <f t="shared" si="17"/>
        <v/>
      </c>
      <c r="GB12" s="17" t="str">
        <f t="shared" si="17"/>
        <v/>
      </c>
      <c r="GC12" s="17" t="str">
        <f t="shared" si="17"/>
        <v/>
      </c>
      <c r="GD12" s="17" t="str">
        <f t="shared" si="17"/>
        <v/>
      </c>
      <c r="GE12" s="17" t="str">
        <f t="shared" si="17"/>
        <v/>
      </c>
      <c r="GF12" s="17" t="str">
        <f t="shared" si="17"/>
        <v/>
      </c>
      <c r="GG12" s="17" t="str">
        <f t="shared" si="17"/>
        <v/>
      </c>
      <c r="GH12" s="17" t="str">
        <f t="shared" si="17"/>
        <v/>
      </c>
      <c r="GI12" s="17" t="str">
        <f t="shared" si="18"/>
        <v/>
      </c>
      <c r="GJ12" s="17" t="str">
        <f t="shared" si="18"/>
        <v/>
      </c>
      <c r="GK12" s="17" t="str">
        <f t="shared" si="18"/>
        <v/>
      </c>
      <c r="GL12" s="17" t="str">
        <f t="shared" si="18"/>
        <v/>
      </c>
      <c r="GM12" s="17" t="str">
        <f t="shared" si="18"/>
        <v/>
      </c>
      <c r="GN12" s="17" t="str">
        <f t="shared" si="18"/>
        <v/>
      </c>
      <c r="GO12" s="17" t="str">
        <f t="shared" si="18"/>
        <v/>
      </c>
      <c r="GP12" s="17" t="str">
        <f t="shared" si="18"/>
        <v/>
      </c>
      <c r="GQ12" s="17" t="str">
        <f t="shared" si="18"/>
        <v/>
      </c>
      <c r="GR12" s="17" t="str">
        <f t="shared" si="18"/>
        <v/>
      </c>
      <c r="GS12" s="17" t="str">
        <f t="shared" si="19"/>
        <v/>
      </c>
      <c r="GT12" s="17" t="str">
        <f t="shared" si="19"/>
        <v/>
      </c>
      <c r="GU12" s="17" t="str">
        <f t="shared" si="19"/>
        <v/>
      </c>
      <c r="GV12" s="17" t="str">
        <f t="shared" si="19"/>
        <v/>
      </c>
      <c r="GW12" s="17" t="str">
        <f t="shared" si="19"/>
        <v/>
      </c>
      <c r="GX12" s="17" t="str">
        <f t="shared" si="19"/>
        <v/>
      </c>
      <c r="GY12" s="17" t="str">
        <f t="shared" si="19"/>
        <v/>
      </c>
      <c r="GZ12" s="17" t="str">
        <f t="shared" si="19"/>
        <v/>
      </c>
      <c r="HA12" s="17" t="str">
        <f t="shared" si="19"/>
        <v/>
      </c>
      <c r="HB12" s="17" t="str">
        <f t="shared" si="19"/>
        <v/>
      </c>
      <c r="HC12" s="17" t="str">
        <f t="shared" si="20"/>
        <v/>
      </c>
      <c r="HD12" s="17" t="str">
        <f t="shared" si="20"/>
        <v/>
      </c>
      <c r="HE12" s="17" t="str">
        <f t="shared" si="20"/>
        <v/>
      </c>
      <c r="HF12" s="17" t="str">
        <f t="shared" si="20"/>
        <v/>
      </c>
      <c r="HG12" s="17" t="str">
        <f t="shared" si="20"/>
        <v/>
      </c>
      <c r="HH12" s="17" t="str">
        <f t="shared" si="20"/>
        <v/>
      </c>
      <c r="HI12" s="17" t="str">
        <f t="shared" si="20"/>
        <v/>
      </c>
      <c r="HJ12" s="17" t="str">
        <f t="shared" si="20"/>
        <v/>
      </c>
      <c r="HK12" s="17" t="str">
        <f t="shared" si="20"/>
        <v/>
      </c>
      <c r="HL12" s="17" t="str">
        <f t="shared" si="20"/>
        <v/>
      </c>
      <c r="HM12" s="17" t="str">
        <f t="shared" si="21"/>
        <v/>
      </c>
      <c r="HN12" s="17" t="str">
        <f t="shared" si="21"/>
        <v/>
      </c>
      <c r="HO12" s="17" t="str">
        <f t="shared" si="21"/>
        <v/>
      </c>
      <c r="HP12" s="17" t="str">
        <f t="shared" si="21"/>
        <v/>
      </c>
      <c r="HQ12" s="17" t="str">
        <f t="shared" si="21"/>
        <v/>
      </c>
      <c r="HR12" s="17" t="str">
        <f t="shared" si="21"/>
        <v/>
      </c>
      <c r="HS12" s="17" t="str">
        <f t="shared" si="21"/>
        <v/>
      </c>
      <c r="HT12" s="17" t="str">
        <f t="shared" si="21"/>
        <v/>
      </c>
      <c r="HU12" s="17" t="str">
        <f t="shared" si="21"/>
        <v/>
      </c>
      <c r="HV12" s="17" t="str">
        <f t="shared" si="21"/>
        <v/>
      </c>
      <c r="HW12" s="17" t="str">
        <f t="shared" si="21"/>
        <v/>
      </c>
      <c r="HX12" s="17" t="str">
        <f t="shared" si="21"/>
        <v/>
      </c>
      <c r="HY12" s="17" t="str">
        <f t="shared" si="21"/>
        <v/>
      </c>
      <c r="HZ12" s="17" t="str">
        <f t="shared" si="21"/>
        <v/>
      </c>
      <c r="IA12" s="17" t="str">
        <f t="shared" si="21"/>
        <v/>
      </c>
    </row>
    <row r="13" spans="1:235" ht="25.95" customHeight="1" x14ac:dyDescent="0.3">
      <c r="A13" s="7">
        <v>8</v>
      </c>
      <c r="B13" s="7">
        <f>Premissas!$B$6</f>
        <v>6</v>
      </c>
      <c r="C13" s="7">
        <f>7*Premissas!$B$8</f>
        <v>84.848484848484858</v>
      </c>
      <c r="D13" s="7">
        <f>C13+Premissas!$B$9</f>
        <v>132.84848484848487</v>
      </c>
      <c r="E13" s="7">
        <f>C13+Premissas!$B$11</f>
        <v>138.84848484848487</v>
      </c>
      <c r="F13" s="7">
        <f>E13+Premissas!$B$8</f>
        <v>150.969696969697</v>
      </c>
      <c r="G13" s="7">
        <f>Premissas!$B$11</f>
        <v>54</v>
      </c>
      <c r="H13" s="7">
        <f>Premissas!$B$12</f>
        <v>3</v>
      </c>
      <c r="I13" s="7" t="s">
        <v>47</v>
      </c>
      <c r="J13" s="8" t="s">
        <v>48</v>
      </c>
      <c r="K13" s="17" t="str">
        <f t="shared" si="0"/>
        <v/>
      </c>
      <c r="L13" s="17" t="str">
        <f t="shared" si="0"/>
        <v/>
      </c>
      <c r="M13" s="17" t="str">
        <f t="shared" si="0"/>
        <v/>
      </c>
      <c r="N13" s="17" t="str">
        <f t="shared" si="0"/>
        <v/>
      </c>
      <c r="O13" s="17" t="str">
        <f t="shared" si="0"/>
        <v/>
      </c>
      <c r="P13" s="17" t="str">
        <f t="shared" si="0"/>
        <v/>
      </c>
      <c r="Q13" s="17" t="str">
        <f t="shared" si="0"/>
        <v/>
      </c>
      <c r="R13" s="17" t="str">
        <f t="shared" si="0"/>
        <v/>
      </c>
      <c r="S13" s="17" t="str">
        <f t="shared" si="0"/>
        <v/>
      </c>
      <c r="T13" s="17" t="str">
        <f t="shared" si="0"/>
        <v/>
      </c>
      <c r="U13" s="17" t="str">
        <f t="shared" si="1"/>
        <v/>
      </c>
      <c r="V13" s="17" t="str">
        <f t="shared" si="1"/>
        <v/>
      </c>
      <c r="W13" s="17" t="str">
        <f t="shared" si="1"/>
        <v/>
      </c>
      <c r="X13" s="17" t="str">
        <f t="shared" si="1"/>
        <v/>
      </c>
      <c r="Y13" s="17" t="str">
        <f t="shared" si="1"/>
        <v/>
      </c>
      <c r="Z13" s="17" t="str">
        <f t="shared" si="1"/>
        <v/>
      </c>
      <c r="AA13" s="17" t="str">
        <f t="shared" si="1"/>
        <v/>
      </c>
      <c r="AB13" s="17" t="str">
        <f t="shared" si="1"/>
        <v/>
      </c>
      <c r="AC13" s="17" t="str">
        <f t="shared" si="1"/>
        <v/>
      </c>
      <c r="AD13" s="17" t="str">
        <f t="shared" si="1"/>
        <v/>
      </c>
      <c r="AE13" s="17" t="str">
        <f t="shared" si="2"/>
        <v/>
      </c>
      <c r="AF13" s="17" t="str">
        <f t="shared" si="2"/>
        <v/>
      </c>
      <c r="AG13" s="17" t="str">
        <f t="shared" si="2"/>
        <v/>
      </c>
      <c r="AH13" s="17" t="str">
        <f t="shared" si="2"/>
        <v/>
      </c>
      <c r="AI13" s="17" t="str">
        <f t="shared" si="2"/>
        <v/>
      </c>
      <c r="AJ13" s="17" t="str">
        <f t="shared" si="2"/>
        <v/>
      </c>
      <c r="AK13" s="17" t="str">
        <f t="shared" si="2"/>
        <v/>
      </c>
      <c r="AL13" s="17" t="str">
        <f t="shared" si="2"/>
        <v/>
      </c>
      <c r="AM13" s="17" t="str">
        <f t="shared" si="2"/>
        <v/>
      </c>
      <c r="AN13" s="17" t="str">
        <f t="shared" si="2"/>
        <v>R</v>
      </c>
      <c r="AO13" s="17" t="str">
        <f t="shared" si="3"/>
        <v>R</v>
      </c>
      <c r="AP13" s="17" t="str">
        <f t="shared" si="3"/>
        <v>R</v>
      </c>
      <c r="AQ13" s="17" t="str">
        <f t="shared" si="3"/>
        <v>R</v>
      </c>
      <c r="AR13" s="17" t="str">
        <f t="shared" si="3"/>
        <v>R</v>
      </c>
      <c r="AS13" s="17" t="str">
        <f t="shared" si="3"/>
        <v>R</v>
      </c>
      <c r="AT13" s="17" t="str">
        <f t="shared" si="3"/>
        <v>R</v>
      </c>
      <c r="AU13" s="17" t="str">
        <f t="shared" si="3"/>
        <v>R</v>
      </c>
      <c r="AV13" s="17" t="str">
        <f t="shared" si="3"/>
        <v>R</v>
      </c>
      <c r="AW13" s="17" t="str">
        <f t="shared" si="3"/>
        <v>R</v>
      </c>
      <c r="AX13" s="17" t="str">
        <f t="shared" si="3"/>
        <v>R</v>
      </c>
      <c r="AY13" s="17" t="str">
        <f t="shared" si="4"/>
        <v>R</v>
      </c>
      <c r="AZ13" s="17" t="str">
        <f t="shared" si="4"/>
        <v>R</v>
      </c>
      <c r="BA13" s="17" t="str">
        <f t="shared" si="4"/>
        <v>R</v>
      </c>
      <c r="BB13" s="17" t="str">
        <f t="shared" si="4"/>
        <v>R</v>
      </c>
      <c r="BC13" s="17" t="str">
        <f t="shared" si="4"/>
        <v>R</v>
      </c>
      <c r="BD13" s="17" t="str">
        <f t="shared" si="4"/>
        <v>P</v>
      </c>
      <c r="BE13" s="17" t="str">
        <f t="shared" si="4"/>
        <v>P</v>
      </c>
      <c r="BF13" s="17" t="str">
        <f t="shared" si="4"/>
        <v>T</v>
      </c>
      <c r="BG13" s="17" t="str">
        <f t="shared" si="4"/>
        <v>T</v>
      </c>
      <c r="BH13" s="17" t="str">
        <f t="shared" si="4"/>
        <v>T</v>
      </c>
      <c r="BI13" s="17" t="str">
        <f t="shared" si="5"/>
        <v>T</v>
      </c>
      <c r="BJ13" s="17" t="str">
        <f t="shared" si="5"/>
        <v/>
      </c>
      <c r="BK13" s="17" t="str">
        <f t="shared" si="5"/>
        <v/>
      </c>
      <c r="BL13" s="17" t="str">
        <f t="shared" si="5"/>
        <v/>
      </c>
      <c r="BM13" s="17" t="str">
        <f t="shared" si="5"/>
        <v/>
      </c>
      <c r="BN13" s="17" t="str">
        <f t="shared" si="5"/>
        <v/>
      </c>
      <c r="BO13" s="17" t="str">
        <f t="shared" si="5"/>
        <v/>
      </c>
      <c r="BP13" s="17" t="str">
        <f t="shared" si="5"/>
        <v/>
      </c>
      <c r="BQ13" s="17" t="str">
        <f t="shared" si="5"/>
        <v/>
      </c>
      <c r="BR13" s="17" t="str">
        <f t="shared" si="5"/>
        <v/>
      </c>
      <c r="BS13" s="17" t="str">
        <f t="shared" si="6"/>
        <v/>
      </c>
      <c r="BT13" s="17" t="str">
        <f t="shared" si="6"/>
        <v/>
      </c>
      <c r="BU13" s="17" t="str">
        <f t="shared" si="6"/>
        <v/>
      </c>
      <c r="BV13" s="17" t="str">
        <f t="shared" si="6"/>
        <v/>
      </c>
      <c r="BW13" s="17" t="str">
        <f t="shared" si="6"/>
        <v/>
      </c>
      <c r="BX13" s="17" t="str">
        <f t="shared" si="6"/>
        <v/>
      </c>
      <c r="BY13" s="17" t="str">
        <f t="shared" si="6"/>
        <v/>
      </c>
      <c r="BZ13" s="17" t="str">
        <f t="shared" si="6"/>
        <v/>
      </c>
      <c r="CA13" s="17" t="str">
        <f t="shared" si="6"/>
        <v/>
      </c>
      <c r="CB13" s="17" t="str">
        <f t="shared" si="6"/>
        <v/>
      </c>
      <c r="CC13" s="17" t="str">
        <f t="shared" si="7"/>
        <v/>
      </c>
      <c r="CD13" s="17" t="str">
        <f t="shared" si="7"/>
        <v/>
      </c>
      <c r="CE13" s="17" t="str">
        <f t="shared" si="7"/>
        <v/>
      </c>
      <c r="CF13" s="17" t="str">
        <f t="shared" si="7"/>
        <v/>
      </c>
      <c r="CG13" s="17" t="str">
        <f t="shared" si="7"/>
        <v/>
      </c>
      <c r="CH13" s="17" t="str">
        <f t="shared" si="7"/>
        <v/>
      </c>
      <c r="CI13" s="17" t="str">
        <f t="shared" si="7"/>
        <v/>
      </c>
      <c r="CJ13" s="17" t="str">
        <f t="shared" si="7"/>
        <v/>
      </c>
      <c r="CK13" s="17" t="str">
        <f t="shared" si="7"/>
        <v/>
      </c>
      <c r="CL13" s="17" t="str">
        <f t="shared" si="7"/>
        <v/>
      </c>
      <c r="CM13" s="17" t="str">
        <f t="shared" si="8"/>
        <v/>
      </c>
      <c r="CN13" s="17" t="str">
        <f t="shared" si="8"/>
        <v/>
      </c>
      <c r="CO13" s="17" t="str">
        <f t="shared" si="8"/>
        <v/>
      </c>
      <c r="CP13" s="17" t="str">
        <f t="shared" si="8"/>
        <v/>
      </c>
      <c r="CQ13" s="17" t="str">
        <f t="shared" si="8"/>
        <v/>
      </c>
      <c r="CR13" s="17" t="str">
        <f t="shared" si="8"/>
        <v/>
      </c>
      <c r="CS13" s="17" t="str">
        <f t="shared" si="8"/>
        <v/>
      </c>
      <c r="CT13" s="17" t="str">
        <f t="shared" si="8"/>
        <v/>
      </c>
      <c r="CU13" s="17" t="str">
        <f t="shared" si="8"/>
        <v/>
      </c>
      <c r="CV13" s="17" t="str">
        <f t="shared" si="8"/>
        <v/>
      </c>
      <c r="CW13" s="17" t="str">
        <f t="shared" si="9"/>
        <v/>
      </c>
      <c r="CX13" s="17" t="str">
        <f t="shared" si="9"/>
        <v/>
      </c>
      <c r="CY13" s="17" t="str">
        <f t="shared" si="9"/>
        <v/>
      </c>
      <c r="CZ13" s="17" t="str">
        <f t="shared" si="9"/>
        <v/>
      </c>
      <c r="DA13" s="17" t="str">
        <f t="shared" si="9"/>
        <v/>
      </c>
      <c r="DB13" s="17" t="str">
        <f t="shared" si="9"/>
        <v/>
      </c>
      <c r="DC13" s="17" t="str">
        <f t="shared" si="9"/>
        <v/>
      </c>
      <c r="DD13" s="17" t="str">
        <f t="shared" si="9"/>
        <v/>
      </c>
      <c r="DE13" s="17" t="str">
        <f t="shared" si="9"/>
        <v/>
      </c>
      <c r="DF13" s="17" t="str">
        <f t="shared" si="9"/>
        <v/>
      </c>
      <c r="DG13" s="17" t="str">
        <f t="shared" si="10"/>
        <v/>
      </c>
      <c r="DH13" s="17" t="str">
        <f t="shared" si="10"/>
        <v/>
      </c>
      <c r="DI13" s="17" t="str">
        <f t="shared" si="10"/>
        <v/>
      </c>
      <c r="DJ13" s="17" t="str">
        <f t="shared" si="10"/>
        <v/>
      </c>
      <c r="DK13" s="17" t="str">
        <f t="shared" si="10"/>
        <v/>
      </c>
      <c r="DL13" s="17" t="str">
        <f t="shared" si="10"/>
        <v/>
      </c>
      <c r="DM13" s="17" t="str">
        <f t="shared" si="10"/>
        <v/>
      </c>
      <c r="DN13" s="17" t="str">
        <f t="shared" si="10"/>
        <v/>
      </c>
      <c r="DO13" s="17" t="str">
        <f t="shared" si="10"/>
        <v/>
      </c>
      <c r="DP13" s="17" t="str">
        <f t="shared" si="10"/>
        <v/>
      </c>
      <c r="DQ13" s="17" t="str">
        <f t="shared" si="11"/>
        <v/>
      </c>
      <c r="DR13" s="17" t="str">
        <f t="shared" si="11"/>
        <v/>
      </c>
      <c r="DS13" s="17" t="str">
        <f t="shared" si="11"/>
        <v/>
      </c>
      <c r="DT13" s="17" t="str">
        <f t="shared" si="11"/>
        <v/>
      </c>
      <c r="DU13" s="17" t="str">
        <f t="shared" si="11"/>
        <v/>
      </c>
      <c r="DV13" s="17" t="str">
        <f t="shared" si="11"/>
        <v/>
      </c>
      <c r="DW13" s="17" t="str">
        <f t="shared" si="11"/>
        <v/>
      </c>
      <c r="DX13" s="17" t="str">
        <f t="shared" si="11"/>
        <v/>
      </c>
      <c r="DY13" s="17" t="str">
        <f t="shared" si="11"/>
        <v/>
      </c>
      <c r="DZ13" s="17" t="str">
        <f t="shared" si="11"/>
        <v/>
      </c>
      <c r="EA13" s="17" t="str">
        <f t="shared" si="12"/>
        <v/>
      </c>
      <c r="EB13" s="17" t="str">
        <f t="shared" si="12"/>
        <v/>
      </c>
      <c r="EC13" s="17" t="str">
        <f t="shared" si="12"/>
        <v/>
      </c>
      <c r="ED13" s="17" t="str">
        <f t="shared" si="12"/>
        <v/>
      </c>
      <c r="EE13" s="17" t="str">
        <f t="shared" si="12"/>
        <v/>
      </c>
      <c r="EF13" s="17" t="str">
        <f t="shared" si="12"/>
        <v/>
      </c>
      <c r="EG13" s="17" t="str">
        <f t="shared" si="12"/>
        <v/>
      </c>
      <c r="EH13" s="17" t="str">
        <f t="shared" si="12"/>
        <v/>
      </c>
      <c r="EI13" s="17" t="str">
        <f t="shared" si="12"/>
        <v/>
      </c>
      <c r="EJ13" s="17" t="str">
        <f t="shared" si="12"/>
        <v/>
      </c>
      <c r="EK13" s="17" t="str">
        <f t="shared" si="13"/>
        <v/>
      </c>
      <c r="EL13" s="17" t="str">
        <f t="shared" si="13"/>
        <v/>
      </c>
      <c r="EM13" s="17" t="str">
        <f t="shared" si="13"/>
        <v/>
      </c>
      <c r="EN13" s="17" t="str">
        <f t="shared" si="13"/>
        <v/>
      </c>
      <c r="EO13" s="17" t="str">
        <f t="shared" si="13"/>
        <v/>
      </c>
      <c r="EP13" s="17" t="str">
        <f t="shared" si="13"/>
        <v/>
      </c>
      <c r="EQ13" s="17" t="str">
        <f t="shared" si="13"/>
        <v/>
      </c>
      <c r="ER13" s="17" t="str">
        <f t="shared" si="13"/>
        <v/>
      </c>
      <c r="ES13" s="17" t="str">
        <f t="shared" si="13"/>
        <v/>
      </c>
      <c r="ET13" s="17" t="str">
        <f t="shared" si="13"/>
        <v/>
      </c>
      <c r="EU13" s="17" t="str">
        <f t="shared" si="14"/>
        <v/>
      </c>
      <c r="EV13" s="17" t="str">
        <f t="shared" si="14"/>
        <v/>
      </c>
      <c r="EW13" s="17" t="str">
        <f t="shared" si="14"/>
        <v/>
      </c>
      <c r="EX13" s="17" t="str">
        <f t="shared" si="14"/>
        <v/>
      </c>
      <c r="EY13" s="17" t="str">
        <f t="shared" si="14"/>
        <v/>
      </c>
      <c r="EZ13" s="17" t="str">
        <f t="shared" si="14"/>
        <v/>
      </c>
      <c r="FA13" s="17" t="str">
        <f t="shared" si="14"/>
        <v/>
      </c>
      <c r="FB13" s="17" t="str">
        <f t="shared" si="14"/>
        <v/>
      </c>
      <c r="FC13" s="17" t="str">
        <f t="shared" si="14"/>
        <v/>
      </c>
      <c r="FD13" s="17" t="str">
        <f t="shared" si="14"/>
        <v/>
      </c>
      <c r="FE13" s="17" t="str">
        <f t="shared" si="15"/>
        <v/>
      </c>
      <c r="FF13" s="17" t="str">
        <f t="shared" si="15"/>
        <v/>
      </c>
      <c r="FG13" s="17" t="str">
        <f t="shared" si="15"/>
        <v/>
      </c>
      <c r="FH13" s="17" t="str">
        <f t="shared" si="15"/>
        <v/>
      </c>
      <c r="FI13" s="17" t="str">
        <f t="shared" si="15"/>
        <v/>
      </c>
      <c r="FJ13" s="17" t="str">
        <f t="shared" si="15"/>
        <v/>
      </c>
      <c r="FK13" s="17" t="str">
        <f t="shared" si="15"/>
        <v/>
      </c>
      <c r="FL13" s="17" t="str">
        <f t="shared" si="15"/>
        <v/>
      </c>
      <c r="FM13" s="17" t="str">
        <f t="shared" si="15"/>
        <v/>
      </c>
      <c r="FN13" s="17" t="str">
        <f t="shared" si="15"/>
        <v/>
      </c>
      <c r="FO13" s="17" t="str">
        <f t="shared" si="16"/>
        <v/>
      </c>
      <c r="FP13" s="17" t="str">
        <f t="shared" si="16"/>
        <v/>
      </c>
      <c r="FQ13" s="17" t="str">
        <f t="shared" si="16"/>
        <v/>
      </c>
      <c r="FR13" s="17" t="str">
        <f t="shared" si="16"/>
        <v/>
      </c>
      <c r="FS13" s="17" t="str">
        <f t="shared" si="16"/>
        <v/>
      </c>
      <c r="FT13" s="17" t="str">
        <f t="shared" si="16"/>
        <v/>
      </c>
      <c r="FU13" s="17" t="str">
        <f t="shared" si="16"/>
        <v/>
      </c>
      <c r="FV13" s="17" t="str">
        <f t="shared" si="16"/>
        <v/>
      </c>
      <c r="FW13" s="17" t="str">
        <f t="shared" si="16"/>
        <v/>
      </c>
      <c r="FX13" s="17" t="str">
        <f t="shared" si="16"/>
        <v/>
      </c>
      <c r="FY13" s="17" t="str">
        <f t="shared" si="17"/>
        <v/>
      </c>
      <c r="FZ13" s="17" t="str">
        <f t="shared" si="17"/>
        <v/>
      </c>
      <c r="GA13" s="17" t="str">
        <f t="shared" si="17"/>
        <v/>
      </c>
      <c r="GB13" s="17" t="str">
        <f t="shared" si="17"/>
        <v/>
      </c>
      <c r="GC13" s="17" t="str">
        <f t="shared" si="17"/>
        <v/>
      </c>
      <c r="GD13" s="17" t="str">
        <f t="shared" si="17"/>
        <v/>
      </c>
      <c r="GE13" s="17" t="str">
        <f t="shared" si="17"/>
        <v/>
      </c>
      <c r="GF13" s="17" t="str">
        <f t="shared" si="17"/>
        <v/>
      </c>
      <c r="GG13" s="17" t="str">
        <f t="shared" si="17"/>
        <v/>
      </c>
      <c r="GH13" s="17" t="str">
        <f t="shared" si="17"/>
        <v/>
      </c>
      <c r="GI13" s="17" t="str">
        <f t="shared" si="18"/>
        <v/>
      </c>
      <c r="GJ13" s="17" t="str">
        <f t="shared" si="18"/>
        <v/>
      </c>
      <c r="GK13" s="17" t="str">
        <f t="shared" si="18"/>
        <v/>
      </c>
      <c r="GL13" s="17" t="str">
        <f t="shared" si="18"/>
        <v/>
      </c>
      <c r="GM13" s="17" t="str">
        <f t="shared" si="18"/>
        <v/>
      </c>
      <c r="GN13" s="17" t="str">
        <f t="shared" si="18"/>
        <v/>
      </c>
      <c r="GO13" s="17" t="str">
        <f t="shared" si="18"/>
        <v/>
      </c>
      <c r="GP13" s="17" t="str">
        <f t="shared" si="18"/>
        <v/>
      </c>
      <c r="GQ13" s="17" t="str">
        <f t="shared" si="18"/>
        <v/>
      </c>
      <c r="GR13" s="17" t="str">
        <f t="shared" si="18"/>
        <v/>
      </c>
      <c r="GS13" s="17" t="str">
        <f t="shared" si="19"/>
        <v/>
      </c>
      <c r="GT13" s="17" t="str">
        <f t="shared" si="19"/>
        <v/>
      </c>
      <c r="GU13" s="17" t="str">
        <f t="shared" si="19"/>
        <v/>
      </c>
      <c r="GV13" s="17" t="str">
        <f t="shared" si="19"/>
        <v/>
      </c>
      <c r="GW13" s="17" t="str">
        <f t="shared" si="19"/>
        <v/>
      </c>
      <c r="GX13" s="17" t="str">
        <f t="shared" si="19"/>
        <v/>
      </c>
      <c r="GY13" s="17" t="str">
        <f t="shared" si="19"/>
        <v/>
      </c>
      <c r="GZ13" s="17" t="str">
        <f t="shared" si="19"/>
        <v/>
      </c>
      <c r="HA13" s="17" t="str">
        <f t="shared" si="19"/>
        <v/>
      </c>
      <c r="HB13" s="17" t="str">
        <f t="shared" si="19"/>
        <v/>
      </c>
      <c r="HC13" s="17" t="str">
        <f t="shared" si="20"/>
        <v/>
      </c>
      <c r="HD13" s="17" t="str">
        <f t="shared" si="20"/>
        <v/>
      </c>
      <c r="HE13" s="17" t="str">
        <f t="shared" si="20"/>
        <v/>
      </c>
      <c r="HF13" s="17" t="str">
        <f t="shared" si="20"/>
        <v/>
      </c>
      <c r="HG13" s="17" t="str">
        <f t="shared" si="20"/>
        <v/>
      </c>
      <c r="HH13" s="17" t="str">
        <f t="shared" si="20"/>
        <v/>
      </c>
      <c r="HI13" s="17" t="str">
        <f t="shared" si="20"/>
        <v/>
      </c>
      <c r="HJ13" s="17" t="str">
        <f t="shared" si="20"/>
        <v/>
      </c>
      <c r="HK13" s="17" t="str">
        <f t="shared" si="20"/>
        <v/>
      </c>
      <c r="HL13" s="17" t="str">
        <f t="shared" si="20"/>
        <v/>
      </c>
      <c r="HM13" s="17" t="str">
        <f t="shared" si="21"/>
        <v/>
      </c>
      <c r="HN13" s="17" t="str">
        <f t="shared" si="21"/>
        <v/>
      </c>
      <c r="HO13" s="17" t="str">
        <f t="shared" si="21"/>
        <v/>
      </c>
      <c r="HP13" s="17" t="str">
        <f t="shared" si="21"/>
        <v/>
      </c>
      <c r="HQ13" s="17" t="str">
        <f t="shared" si="21"/>
        <v/>
      </c>
      <c r="HR13" s="17" t="str">
        <f t="shared" si="21"/>
        <v/>
      </c>
      <c r="HS13" s="17" t="str">
        <f t="shared" si="21"/>
        <v/>
      </c>
      <c r="HT13" s="17" t="str">
        <f t="shared" si="21"/>
        <v/>
      </c>
      <c r="HU13" s="17" t="str">
        <f t="shared" si="21"/>
        <v/>
      </c>
      <c r="HV13" s="17" t="str">
        <f t="shared" si="21"/>
        <v/>
      </c>
      <c r="HW13" s="17" t="str">
        <f t="shared" si="21"/>
        <v/>
      </c>
      <c r="HX13" s="17" t="str">
        <f t="shared" si="21"/>
        <v/>
      </c>
      <c r="HY13" s="17" t="str">
        <f t="shared" si="21"/>
        <v/>
      </c>
      <c r="HZ13" s="17" t="str">
        <f t="shared" si="21"/>
        <v/>
      </c>
      <c r="IA13" s="17" t="str">
        <f t="shared" si="21"/>
        <v/>
      </c>
    </row>
    <row r="14" spans="1:235" ht="25.95" customHeight="1" x14ac:dyDescent="0.3">
      <c r="A14" s="7">
        <v>9</v>
      </c>
      <c r="B14" s="7">
        <f>Premissas!$B$6</f>
        <v>6</v>
      </c>
      <c r="C14" s="7">
        <f>8*Premissas!$B$8</f>
        <v>96.969696969696983</v>
      </c>
      <c r="D14" s="7">
        <f>C14+Premissas!$B$9</f>
        <v>144.969696969697</v>
      </c>
      <c r="E14" s="7">
        <f>C14+Premissas!$B$11</f>
        <v>150.969696969697</v>
      </c>
      <c r="F14" s="7">
        <f>E14+Premissas!$B$8</f>
        <v>163.09090909090912</v>
      </c>
      <c r="G14" s="7">
        <f>Premissas!$B$11</f>
        <v>54</v>
      </c>
      <c r="H14" s="7">
        <f>Premissas!$B$12</f>
        <v>3</v>
      </c>
      <c r="I14" s="7" t="s">
        <v>47</v>
      </c>
      <c r="J14" s="8" t="s">
        <v>48</v>
      </c>
      <c r="K14" s="17" t="str">
        <f t="shared" si="0"/>
        <v/>
      </c>
      <c r="L14" s="17" t="str">
        <f t="shared" si="0"/>
        <v/>
      </c>
      <c r="M14" s="17" t="str">
        <f t="shared" si="0"/>
        <v/>
      </c>
      <c r="N14" s="17" t="str">
        <f t="shared" si="0"/>
        <v/>
      </c>
      <c r="O14" s="17" t="str">
        <f t="shared" si="0"/>
        <v/>
      </c>
      <c r="P14" s="17" t="str">
        <f t="shared" si="0"/>
        <v/>
      </c>
      <c r="Q14" s="17" t="str">
        <f t="shared" si="0"/>
        <v/>
      </c>
      <c r="R14" s="17" t="str">
        <f t="shared" si="0"/>
        <v/>
      </c>
      <c r="S14" s="17" t="str">
        <f t="shared" si="0"/>
        <v/>
      </c>
      <c r="T14" s="17" t="str">
        <f t="shared" si="0"/>
        <v/>
      </c>
      <c r="U14" s="17" t="str">
        <f t="shared" si="1"/>
        <v/>
      </c>
      <c r="V14" s="17" t="str">
        <f t="shared" si="1"/>
        <v/>
      </c>
      <c r="W14" s="17" t="str">
        <f t="shared" si="1"/>
        <v/>
      </c>
      <c r="X14" s="17" t="str">
        <f t="shared" si="1"/>
        <v/>
      </c>
      <c r="Y14" s="17" t="str">
        <f t="shared" si="1"/>
        <v/>
      </c>
      <c r="Z14" s="17" t="str">
        <f t="shared" si="1"/>
        <v/>
      </c>
      <c r="AA14" s="17" t="str">
        <f t="shared" si="1"/>
        <v/>
      </c>
      <c r="AB14" s="17" t="str">
        <f t="shared" si="1"/>
        <v/>
      </c>
      <c r="AC14" s="17" t="str">
        <f t="shared" si="1"/>
        <v/>
      </c>
      <c r="AD14" s="17" t="str">
        <f t="shared" si="1"/>
        <v/>
      </c>
      <c r="AE14" s="17" t="str">
        <f t="shared" si="2"/>
        <v/>
      </c>
      <c r="AF14" s="17" t="str">
        <f t="shared" si="2"/>
        <v/>
      </c>
      <c r="AG14" s="17" t="str">
        <f t="shared" si="2"/>
        <v/>
      </c>
      <c r="AH14" s="17" t="str">
        <f t="shared" si="2"/>
        <v/>
      </c>
      <c r="AI14" s="17" t="str">
        <f t="shared" si="2"/>
        <v/>
      </c>
      <c r="AJ14" s="17" t="str">
        <f t="shared" si="2"/>
        <v/>
      </c>
      <c r="AK14" s="17" t="str">
        <f t="shared" si="2"/>
        <v/>
      </c>
      <c r="AL14" s="17" t="str">
        <f t="shared" si="2"/>
        <v/>
      </c>
      <c r="AM14" s="17" t="str">
        <f t="shared" si="2"/>
        <v/>
      </c>
      <c r="AN14" s="17" t="str">
        <f t="shared" si="2"/>
        <v/>
      </c>
      <c r="AO14" s="17" t="str">
        <f t="shared" si="3"/>
        <v/>
      </c>
      <c r="AP14" s="17" t="str">
        <f t="shared" si="3"/>
        <v/>
      </c>
      <c r="AQ14" s="17" t="str">
        <f t="shared" si="3"/>
        <v/>
      </c>
      <c r="AR14" s="17" t="str">
        <f t="shared" si="3"/>
        <v>R</v>
      </c>
      <c r="AS14" s="17" t="str">
        <f t="shared" si="3"/>
        <v>R</v>
      </c>
      <c r="AT14" s="17" t="str">
        <f t="shared" si="3"/>
        <v>R</v>
      </c>
      <c r="AU14" s="17" t="str">
        <f t="shared" si="3"/>
        <v>R</v>
      </c>
      <c r="AV14" s="17" t="str">
        <f t="shared" si="3"/>
        <v>R</v>
      </c>
      <c r="AW14" s="17" t="str">
        <f t="shared" si="3"/>
        <v>R</v>
      </c>
      <c r="AX14" s="17" t="str">
        <f t="shared" si="3"/>
        <v>R</v>
      </c>
      <c r="AY14" s="17" t="str">
        <f t="shared" si="4"/>
        <v>R</v>
      </c>
      <c r="AZ14" s="17" t="str">
        <f t="shared" si="4"/>
        <v>R</v>
      </c>
      <c r="BA14" s="17" t="str">
        <f t="shared" si="4"/>
        <v>R</v>
      </c>
      <c r="BB14" s="17" t="str">
        <f t="shared" si="4"/>
        <v>R</v>
      </c>
      <c r="BC14" s="17" t="str">
        <f t="shared" si="4"/>
        <v>R</v>
      </c>
      <c r="BD14" s="17" t="str">
        <f t="shared" si="4"/>
        <v>R</v>
      </c>
      <c r="BE14" s="17" t="str">
        <f t="shared" si="4"/>
        <v>R</v>
      </c>
      <c r="BF14" s="17" t="str">
        <f t="shared" si="4"/>
        <v>R</v>
      </c>
      <c r="BG14" s="17" t="str">
        <f t="shared" si="4"/>
        <v>R</v>
      </c>
      <c r="BH14" s="17" t="str">
        <f t="shared" si="4"/>
        <v>P</v>
      </c>
      <c r="BI14" s="17" t="str">
        <f t="shared" si="5"/>
        <v>P</v>
      </c>
      <c r="BJ14" s="17" t="str">
        <f t="shared" si="5"/>
        <v>T</v>
      </c>
      <c r="BK14" s="17" t="str">
        <f t="shared" si="5"/>
        <v>T</v>
      </c>
      <c r="BL14" s="17" t="str">
        <f t="shared" si="5"/>
        <v>T</v>
      </c>
      <c r="BM14" s="17" t="str">
        <f t="shared" si="5"/>
        <v>T</v>
      </c>
      <c r="BN14" s="17" t="str">
        <f t="shared" si="5"/>
        <v/>
      </c>
      <c r="BO14" s="17" t="str">
        <f t="shared" si="5"/>
        <v/>
      </c>
      <c r="BP14" s="17" t="str">
        <f t="shared" si="5"/>
        <v/>
      </c>
      <c r="BQ14" s="17" t="str">
        <f t="shared" si="5"/>
        <v/>
      </c>
      <c r="BR14" s="17" t="str">
        <f t="shared" si="5"/>
        <v/>
      </c>
      <c r="BS14" s="17" t="str">
        <f t="shared" si="6"/>
        <v/>
      </c>
      <c r="BT14" s="17" t="str">
        <f t="shared" si="6"/>
        <v/>
      </c>
      <c r="BU14" s="17" t="str">
        <f t="shared" si="6"/>
        <v/>
      </c>
      <c r="BV14" s="17" t="str">
        <f t="shared" si="6"/>
        <v/>
      </c>
      <c r="BW14" s="17" t="str">
        <f t="shared" si="6"/>
        <v/>
      </c>
      <c r="BX14" s="17" t="str">
        <f t="shared" si="6"/>
        <v/>
      </c>
      <c r="BY14" s="17" t="str">
        <f t="shared" si="6"/>
        <v/>
      </c>
      <c r="BZ14" s="17" t="str">
        <f t="shared" si="6"/>
        <v/>
      </c>
      <c r="CA14" s="17" t="str">
        <f t="shared" si="6"/>
        <v/>
      </c>
      <c r="CB14" s="17" t="str">
        <f t="shared" si="6"/>
        <v/>
      </c>
      <c r="CC14" s="17" t="str">
        <f t="shared" si="7"/>
        <v/>
      </c>
      <c r="CD14" s="17" t="str">
        <f t="shared" si="7"/>
        <v/>
      </c>
      <c r="CE14" s="17" t="str">
        <f t="shared" si="7"/>
        <v/>
      </c>
      <c r="CF14" s="17" t="str">
        <f t="shared" si="7"/>
        <v/>
      </c>
      <c r="CG14" s="17" t="str">
        <f t="shared" si="7"/>
        <v/>
      </c>
      <c r="CH14" s="17" t="str">
        <f t="shared" si="7"/>
        <v/>
      </c>
      <c r="CI14" s="17" t="str">
        <f t="shared" si="7"/>
        <v/>
      </c>
      <c r="CJ14" s="17" t="str">
        <f t="shared" si="7"/>
        <v/>
      </c>
      <c r="CK14" s="17" t="str">
        <f t="shared" si="7"/>
        <v/>
      </c>
      <c r="CL14" s="17" t="str">
        <f t="shared" si="7"/>
        <v/>
      </c>
      <c r="CM14" s="17" t="str">
        <f t="shared" si="8"/>
        <v/>
      </c>
      <c r="CN14" s="17" t="str">
        <f t="shared" si="8"/>
        <v/>
      </c>
      <c r="CO14" s="17" t="str">
        <f t="shared" si="8"/>
        <v/>
      </c>
      <c r="CP14" s="17" t="str">
        <f t="shared" si="8"/>
        <v/>
      </c>
      <c r="CQ14" s="17" t="str">
        <f t="shared" si="8"/>
        <v/>
      </c>
      <c r="CR14" s="17" t="str">
        <f t="shared" si="8"/>
        <v/>
      </c>
      <c r="CS14" s="17" t="str">
        <f t="shared" si="8"/>
        <v/>
      </c>
      <c r="CT14" s="17" t="str">
        <f t="shared" si="8"/>
        <v/>
      </c>
      <c r="CU14" s="17" t="str">
        <f t="shared" si="8"/>
        <v/>
      </c>
      <c r="CV14" s="17" t="str">
        <f t="shared" si="8"/>
        <v/>
      </c>
      <c r="CW14" s="17" t="str">
        <f t="shared" si="9"/>
        <v/>
      </c>
      <c r="CX14" s="17" t="str">
        <f t="shared" si="9"/>
        <v/>
      </c>
      <c r="CY14" s="17" t="str">
        <f t="shared" si="9"/>
        <v/>
      </c>
      <c r="CZ14" s="17" t="str">
        <f t="shared" si="9"/>
        <v/>
      </c>
      <c r="DA14" s="17" t="str">
        <f t="shared" si="9"/>
        <v/>
      </c>
      <c r="DB14" s="17" t="str">
        <f t="shared" si="9"/>
        <v/>
      </c>
      <c r="DC14" s="17" t="str">
        <f t="shared" si="9"/>
        <v/>
      </c>
      <c r="DD14" s="17" t="str">
        <f t="shared" si="9"/>
        <v/>
      </c>
      <c r="DE14" s="17" t="str">
        <f t="shared" si="9"/>
        <v/>
      </c>
      <c r="DF14" s="17" t="str">
        <f t="shared" si="9"/>
        <v/>
      </c>
      <c r="DG14" s="17" t="str">
        <f t="shared" si="10"/>
        <v/>
      </c>
      <c r="DH14" s="17" t="str">
        <f t="shared" si="10"/>
        <v/>
      </c>
      <c r="DI14" s="17" t="str">
        <f t="shared" si="10"/>
        <v/>
      </c>
      <c r="DJ14" s="17" t="str">
        <f t="shared" si="10"/>
        <v/>
      </c>
      <c r="DK14" s="17" t="str">
        <f t="shared" si="10"/>
        <v/>
      </c>
      <c r="DL14" s="17" t="str">
        <f t="shared" si="10"/>
        <v/>
      </c>
      <c r="DM14" s="17" t="str">
        <f t="shared" si="10"/>
        <v/>
      </c>
      <c r="DN14" s="17" t="str">
        <f t="shared" si="10"/>
        <v/>
      </c>
      <c r="DO14" s="17" t="str">
        <f t="shared" si="10"/>
        <v/>
      </c>
      <c r="DP14" s="17" t="str">
        <f t="shared" si="10"/>
        <v/>
      </c>
      <c r="DQ14" s="17" t="str">
        <f t="shared" si="11"/>
        <v/>
      </c>
      <c r="DR14" s="17" t="str">
        <f t="shared" si="11"/>
        <v/>
      </c>
      <c r="DS14" s="17" t="str">
        <f t="shared" si="11"/>
        <v/>
      </c>
      <c r="DT14" s="17" t="str">
        <f t="shared" si="11"/>
        <v/>
      </c>
      <c r="DU14" s="17" t="str">
        <f t="shared" si="11"/>
        <v/>
      </c>
      <c r="DV14" s="17" t="str">
        <f t="shared" si="11"/>
        <v/>
      </c>
      <c r="DW14" s="17" t="str">
        <f t="shared" si="11"/>
        <v/>
      </c>
      <c r="DX14" s="17" t="str">
        <f t="shared" si="11"/>
        <v/>
      </c>
      <c r="DY14" s="17" t="str">
        <f t="shared" si="11"/>
        <v/>
      </c>
      <c r="DZ14" s="17" t="str">
        <f t="shared" si="11"/>
        <v/>
      </c>
      <c r="EA14" s="17" t="str">
        <f t="shared" si="12"/>
        <v/>
      </c>
      <c r="EB14" s="17" t="str">
        <f t="shared" si="12"/>
        <v/>
      </c>
      <c r="EC14" s="17" t="str">
        <f t="shared" si="12"/>
        <v/>
      </c>
      <c r="ED14" s="17" t="str">
        <f t="shared" si="12"/>
        <v/>
      </c>
      <c r="EE14" s="17" t="str">
        <f t="shared" si="12"/>
        <v/>
      </c>
      <c r="EF14" s="17" t="str">
        <f t="shared" si="12"/>
        <v/>
      </c>
      <c r="EG14" s="17" t="str">
        <f t="shared" si="12"/>
        <v/>
      </c>
      <c r="EH14" s="17" t="str">
        <f t="shared" si="12"/>
        <v/>
      </c>
      <c r="EI14" s="17" t="str">
        <f t="shared" si="12"/>
        <v/>
      </c>
      <c r="EJ14" s="17" t="str">
        <f t="shared" si="12"/>
        <v/>
      </c>
      <c r="EK14" s="17" t="str">
        <f t="shared" si="13"/>
        <v/>
      </c>
      <c r="EL14" s="17" t="str">
        <f t="shared" si="13"/>
        <v/>
      </c>
      <c r="EM14" s="17" t="str">
        <f t="shared" si="13"/>
        <v/>
      </c>
      <c r="EN14" s="17" t="str">
        <f t="shared" si="13"/>
        <v/>
      </c>
      <c r="EO14" s="17" t="str">
        <f t="shared" si="13"/>
        <v/>
      </c>
      <c r="EP14" s="17" t="str">
        <f t="shared" si="13"/>
        <v/>
      </c>
      <c r="EQ14" s="17" t="str">
        <f t="shared" si="13"/>
        <v/>
      </c>
      <c r="ER14" s="17" t="str">
        <f t="shared" si="13"/>
        <v/>
      </c>
      <c r="ES14" s="17" t="str">
        <f t="shared" si="13"/>
        <v/>
      </c>
      <c r="ET14" s="17" t="str">
        <f t="shared" si="13"/>
        <v/>
      </c>
      <c r="EU14" s="17" t="str">
        <f t="shared" si="14"/>
        <v/>
      </c>
      <c r="EV14" s="17" t="str">
        <f t="shared" si="14"/>
        <v/>
      </c>
      <c r="EW14" s="17" t="str">
        <f t="shared" si="14"/>
        <v/>
      </c>
      <c r="EX14" s="17" t="str">
        <f t="shared" si="14"/>
        <v/>
      </c>
      <c r="EY14" s="17" t="str">
        <f t="shared" si="14"/>
        <v/>
      </c>
      <c r="EZ14" s="17" t="str">
        <f t="shared" si="14"/>
        <v/>
      </c>
      <c r="FA14" s="17" t="str">
        <f t="shared" si="14"/>
        <v/>
      </c>
      <c r="FB14" s="17" t="str">
        <f t="shared" si="14"/>
        <v/>
      </c>
      <c r="FC14" s="17" t="str">
        <f t="shared" si="14"/>
        <v/>
      </c>
      <c r="FD14" s="17" t="str">
        <f t="shared" si="14"/>
        <v/>
      </c>
      <c r="FE14" s="17" t="str">
        <f t="shared" si="15"/>
        <v/>
      </c>
      <c r="FF14" s="17" t="str">
        <f t="shared" si="15"/>
        <v/>
      </c>
      <c r="FG14" s="17" t="str">
        <f t="shared" si="15"/>
        <v/>
      </c>
      <c r="FH14" s="17" t="str">
        <f t="shared" si="15"/>
        <v/>
      </c>
      <c r="FI14" s="17" t="str">
        <f t="shared" si="15"/>
        <v/>
      </c>
      <c r="FJ14" s="17" t="str">
        <f t="shared" si="15"/>
        <v/>
      </c>
      <c r="FK14" s="17" t="str">
        <f t="shared" si="15"/>
        <v/>
      </c>
      <c r="FL14" s="17" t="str">
        <f t="shared" si="15"/>
        <v/>
      </c>
      <c r="FM14" s="17" t="str">
        <f t="shared" si="15"/>
        <v/>
      </c>
      <c r="FN14" s="17" t="str">
        <f t="shared" si="15"/>
        <v/>
      </c>
      <c r="FO14" s="17" t="str">
        <f t="shared" si="16"/>
        <v/>
      </c>
      <c r="FP14" s="17" t="str">
        <f t="shared" si="16"/>
        <v/>
      </c>
      <c r="FQ14" s="17" t="str">
        <f t="shared" si="16"/>
        <v/>
      </c>
      <c r="FR14" s="17" t="str">
        <f t="shared" si="16"/>
        <v/>
      </c>
      <c r="FS14" s="17" t="str">
        <f t="shared" si="16"/>
        <v/>
      </c>
      <c r="FT14" s="17" t="str">
        <f t="shared" si="16"/>
        <v/>
      </c>
      <c r="FU14" s="17" t="str">
        <f t="shared" si="16"/>
        <v/>
      </c>
      <c r="FV14" s="17" t="str">
        <f t="shared" si="16"/>
        <v/>
      </c>
      <c r="FW14" s="17" t="str">
        <f t="shared" si="16"/>
        <v/>
      </c>
      <c r="FX14" s="17" t="str">
        <f t="shared" si="16"/>
        <v/>
      </c>
      <c r="FY14" s="17" t="str">
        <f t="shared" si="17"/>
        <v/>
      </c>
      <c r="FZ14" s="17" t="str">
        <f t="shared" si="17"/>
        <v/>
      </c>
      <c r="GA14" s="17" t="str">
        <f t="shared" si="17"/>
        <v/>
      </c>
      <c r="GB14" s="17" t="str">
        <f t="shared" si="17"/>
        <v/>
      </c>
      <c r="GC14" s="17" t="str">
        <f t="shared" si="17"/>
        <v/>
      </c>
      <c r="GD14" s="17" t="str">
        <f t="shared" si="17"/>
        <v/>
      </c>
      <c r="GE14" s="17" t="str">
        <f t="shared" si="17"/>
        <v/>
      </c>
      <c r="GF14" s="17" t="str">
        <f t="shared" si="17"/>
        <v/>
      </c>
      <c r="GG14" s="17" t="str">
        <f t="shared" si="17"/>
        <v/>
      </c>
      <c r="GH14" s="17" t="str">
        <f t="shared" si="17"/>
        <v/>
      </c>
      <c r="GI14" s="17" t="str">
        <f t="shared" si="18"/>
        <v/>
      </c>
      <c r="GJ14" s="17" t="str">
        <f t="shared" si="18"/>
        <v/>
      </c>
      <c r="GK14" s="17" t="str">
        <f t="shared" si="18"/>
        <v/>
      </c>
      <c r="GL14" s="17" t="str">
        <f t="shared" si="18"/>
        <v/>
      </c>
      <c r="GM14" s="17" t="str">
        <f t="shared" si="18"/>
        <v/>
      </c>
      <c r="GN14" s="17" t="str">
        <f t="shared" si="18"/>
        <v/>
      </c>
      <c r="GO14" s="17" t="str">
        <f t="shared" si="18"/>
        <v/>
      </c>
      <c r="GP14" s="17" t="str">
        <f t="shared" si="18"/>
        <v/>
      </c>
      <c r="GQ14" s="17" t="str">
        <f t="shared" si="18"/>
        <v/>
      </c>
      <c r="GR14" s="17" t="str">
        <f t="shared" si="18"/>
        <v/>
      </c>
      <c r="GS14" s="17" t="str">
        <f t="shared" si="19"/>
        <v/>
      </c>
      <c r="GT14" s="17" t="str">
        <f t="shared" si="19"/>
        <v/>
      </c>
      <c r="GU14" s="17" t="str">
        <f t="shared" si="19"/>
        <v/>
      </c>
      <c r="GV14" s="17" t="str">
        <f t="shared" si="19"/>
        <v/>
      </c>
      <c r="GW14" s="17" t="str">
        <f t="shared" si="19"/>
        <v/>
      </c>
      <c r="GX14" s="17" t="str">
        <f t="shared" si="19"/>
        <v/>
      </c>
      <c r="GY14" s="17" t="str">
        <f t="shared" si="19"/>
        <v/>
      </c>
      <c r="GZ14" s="17" t="str">
        <f t="shared" si="19"/>
        <v/>
      </c>
      <c r="HA14" s="17" t="str">
        <f t="shared" si="19"/>
        <v/>
      </c>
      <c r="HB14" s="17" t="str">
        <f t="shared" si="19"/>
        <v/>
      </c>
      <c r="HC14" s="17" t="str">
        <f t="shared" si="20"/>
        <v/>
      </c>
      <c r="HD14" s="17" t="str">
        <f t="shared" si="20"/>
        <v/>
      </c>
      <c r="HE14" s="17" t="str">
        <f t="shared" si="20"/>
        <v/>
      </c>
      <c r="HF14" s="17" t="str">
        <f t="shared" si="20"/>
        <v/>
      </c>
      <c r="HG14" s="17" t="str">
        <f t="shared" si="20"/>
        <v/>
      </c>
      <c r="HH14" s="17" t="str">
        <f t="shared" si="20"/>
        <v/>
      </c>
      <c r="HI14" s="17" t="str">
        <f t="shared" si="20"/>
        <v/>
      </c>
      <c r="HJ14" s="17" t="str">
        <f t="shared" si="20"/>
        <v/>
      </c>
      <c r="HK14" s="17" t="str">
        <f t="shared" si="20"/>
        <v/>
      </c>
      <c r="HL14" s="17" t="str">
        <f t="shared" si="20"/>
        <v/>
      </c>
      <c r="HM14" s="17" t="str">
        <f t="shared" si="21"/>
        <v/>
      </c>
      <c r="HN14" s="17" t="str">
        <f t="shared" si="21"/>
        <v/>
      </c>
      <c r="HO14" s="17" t="str">
        <f t="shared" si="21"/>
        <v/>
      </c>
      <c r="HP14" s="17" t="str">
        <f t="shared" si="21"/>
        <v/>
      </c>
      <c r="HQ14" s="17" t="str">
        <f t="shared" si="21"/>
        <v/>
      </c>
      <c r="HR14" s="17" t="str">
        <f t="shared" si="21"/>
        <v/>
      </c>
      <c r="HS14" s="17" t="str">
        <f t="shared" si="21"/>
        <v/>
      </c>
      <c r="HT14" s="17" t="str">
        <f t="shared" si="21"/>
        <v/>
      </c>
      <c r="HU14" s="17" t="str">
        <f t="shared" si="21"/>
        <v/>
      </c>
      <c r="HV14" s="17" t="str">
        <f t="shared" si="21"/>
        <v/>
      </c>
      <c r="HW14" s="17" t="str">
        <f t="shared" si="21"/>
        <v/>
      </c>
      <c r="HX14" s="17" t="str">
        <f t="shared" si="21"/>
        <v/>
      </c>
      <c r="HY14" s="17" t="str">
        <f t="shared" si="21"/>
        <v/>
      </c>
      <c r="HZ14" s="17" t="str">
        <f t="shared" si="21"/>
        <v/>
      </c>
      <c r="IA14" s="17" t="str">
        <f t="shared" si="21"/>
        <v/>
      </c>
    </row>
    <row r="15" spans="1:235" ht="25.95" customHeight="1" x14ac:dyDescent="0.3">
      <c r="A15" s="7">
        <v>10</v>
      </c>
      <c r="B15" s="7">
        <f>Premissas!$B$6</f>
        <v>6</v>
      </c>
      <c r="C15" s="7">
        <f>9*Premissas!$B$8</f>
        <v>109.09090909090911</v>
      </c>
      <c r="D15" s="7">
        <f>C15+Premissas!$B$9</f>
        <v>157.09090909090912</v>
      </c>
      <c r="E15" s="7">
        <f>C15+Premissas!$B$11</f>
        <v>163.09090909090912</v>
      </c>
      <c r="F15" s="7">
        <f>E15+Premissas!$B$8</f>
        <v>175.21212121212125</v>
      </c>
      <c r="G15" s="7">
        <f>Premissas!$B$11</f>
        <v>54</v>
      </c>
      <c r="H15" s="7">
        <f>Premissas!$B$12</f>
        <v>3</v>
      </c>
      <c r="I15" s="7" t="s">
        <v>47</v>
      </c>
      <c r="J15" s="8" t="s">
        <v>48</v>
      </c>
      <c r="K15" s="17" t="str">
        <f t="shared" si="0"/>
        <v/>
      </c>
      <c r="L15" s="17" t="str">
        <f t="shared" si="0"/>
        <v/>
      </c>
      <c r="M15" s="17" t="str">
        <f t="shared" si="0"/>
        <v/>
      </c>
      <c r="N15" s="17" t="str">
        <f t="shared" si="0"/>
        <v/>
      </c>
      <c r="O15" s="17" t="str">
        <f t="shared" si="0"/>
        <v/>
      </c>
      <c r="P15" s="17" t="str">
        <f t="shared" si="0"/>
        <v/>
      </c>
      <c r="Q15" s="17" t="str">
        <f t="shared" si="0"/>
        <v/>
      </c>
      <c r="R15" s="17" t="str">
        <f t="shared" si="0"/>
        <v/>
      </c>
      <c r="S15" s="17" t="str">
        <f t="shared" si="0"/>
        <v/>
      </c>
      <c r="T15" s="17" t="str">
        <f t="shared" si="0"/>
        <v/>
      </c>
      <c r="U15" s="17" t="str">
        <f t="shared" si="1"/>
        <v/>
      </c>
      <c r="V15" s="17" t="str">
        <f t="shared" si="1"/>
        <v/>
      </c>
      <c r="W15" s="17" t="str">
        <f t="shared" si="1"/>
        <v/>
      </c>
      <c r="X15" s="17" t="str">
        <f t="shared" si="1"/>
        <v/>
      </c>
      <c r="Y15" s="17" t="str">
        <f t="shared" si="1"/>
        <v/>
      </c>
      <c r="Z15" s="17" t="str">
        <f t="shared" si="1"/>
        <v/>
      </c>
      <c r="AA15" s="17" t="str">
        <f t="shared" si="1"/>
        <v/>
      </c>
      <c r="AB15" s="17" t="str">
        <f t="shared" si="1"/>
        <v/>
      </c>
      <c r="AC15" s="17" t="str">
        <f t="shared" si="1"/>
        <v/>
      </c>
      <c r="AD15" s="17" t="str">
        <f t="shared" si="1"/>
        <v/>
      </c>
      <c r="AE15" s="17" t="str">
        <f t="shared" si="2"/>
        <v/>
      </c>
      <c r="AF15" s="17" t="str">
        <f t="shared" si="2"/>
        <v/>
      </c>
      <c r="AG15" s="17" t="str">
        <f t="shared" si="2"/>
        <v/>
      </c>
      <c r="AH15" s="17" t="str">
        <f t="shared" si="2"/>
        <v/>
      </c>
      <c r="AI15" s="17" t="str">
        <f t="shared" si="2"/>
        <v/>
      </c>
      <c r="AJ15" s="17" t="str">
        <f t="shared" si="2"/>
        <v/>
      </c>
      <c r="AK15" s="17" t="str">
        <f t="shared" si="2"/>
        <v/>
      </c>
      <c r="AL15" s="17" t="str">
        <f t="shared" si="2"/>
        <v/>
      </c>
      <c r="AM15" s="17" t="str">
        <f t="shared" si="2"/>
        <v/>
      </c>
      <c r="AN15" s="17" t="str">
        <f t="shared" si="2"/>
        <v/>
      </c>
      <c r="AO15" s="17" t="str">
        <f t="shared" si="3"/>
        <v/>
      </c>
      <c r="AP15" s="17" t="str">
        <f t="shared" si="3"/>
        <v/>
      </c>
      <c r="AQ15" s="17" t="str">
        <f t="shared" si="3"/>
        <v/>
      </c>
      <c r="AR15" s="17" t="str">
        <f t="shared" si="3"/>
        <v/>
      </c>
      <c r="AS15" s="17" t="str">
        <f t="shared" si="3"/>
        <v/>
      </c>
      <c r="AT15" s="17" t="str">
        <f t="shared" si="3"/>
        <v/>
      </c>
      <c r="AU15" s="17" t="str">
        <f t="shared" si="3"/>
        <v/>
      </c>
      <c r="AV15" s="17" t="str">
        <f t="shared" si="3"/>
        <v>R</v>
      </c>
      <c r="AW15" s="17" t="str">
        <f t="shared" si="3"/>
        <v>R</v>
      </c>
      <c r="AX15" s="17" t="str">
        <f t="shared" si="3"/>
        <v>R</v>
      </c>
      <c r="AY15" s="17" t="str">
        <f t="shared" si="4"/>
        <v>R</v>
      </c>
      <c r="AZ15" s="17" t="str">
        <f t="shared" si="4"/>
        <v>R</v>
      </c>
      <c r="BA15" s="17" t="str">
        <f t="shared" si="4"/>
        <v>R</v>
      </c>
      <c r="BB15" s="17" t="str">
        <f t="shared" si="4"/>
        <v>R</v>
      </c>
      <c r="BC15" s="17" t="str">
        <f t="shared" si="4"/>
        <v>R</v>
      </c>
      <c r="BD15" s="17" t="str">
        <f t="shared" si="4"/>
        <v>R</v>
      </c>
      <c r="BE15" s="17" t="str">
        <f t="shared" si="4"/>
        <v>R</v>
      </c>
      <c r="BF15" s="17" t="str">
        <f t="shared" si="4"/>
        <v>R</v>
      </c>
      <c r="BG15" s="17" t="str">
        <f t="shared" si="4"/>
        <v>R</v>
      </c>
      <c r="BH15" s="17" t="str">
        <f t="shared" si="4"/>
        <v>R</v>
      </c>
      <c r="BI15" s="17" t="str">
        <f t="shared" si="5"/>
        <v>R</v>
      </c>
      <c r="BJ15" s="17" t="str">
        <f t="shared" si="5"/>
        <v>R</v>
      </c>
      <c r="BK15" s="17" t="str">
        <f t="shared" si="5"/>
        <v>R</v>
      </c>
      <c r="BL15" s="17" t="str">
        <f t="shared" si="5"/>
        <v>P</v>
      </c>
      <c r="BM15" s="17" t="str">
        <f t="shared" si="5"/>
        <v>P</v>
      </c>
      <c r="BN15" s="17" t="str">
        <f t="shared" si="5"/>
        <v>T</v>
      </c>
      <c r="BO15" s="17" t="str">
        <f t="shared" si="5"/>
        <v>T</v>
      </c>
      <c r="BP15" s="17" t="str">
        <f t="shared" si="5"/>
        <v>T</v>
      </c>
      <c r="BQ15" s="17" t="str">
        <f t="shared" si="5"/>
        <v>T</v>
      </c>
      <c r="BR15" s="17" t="str">
        <f t="shared" si="5"/>
        <v/>
      </c>
      <c r="BS15" s="17" t="str">
        <f t="shared" si="6"/>
        <v/>
      </c>
      <c r="BT15" s="17" t="str">
        <f t="shared" si="6"/>
        <v/>
      </c>
      <c r="BU15" s="17" t="str">
        <f t="shared" si="6"/>
        <v/>
      </c>
      <c r="BV15" s="17" t="str">
        <f t="shared" si="6"/>
        <v/>
      </c>
      <c r="BW15" s="17" t="str">
        <f t="shared" si="6"/>
        <v/>
      </c>
      <c r="BX15" s="17" t="str">
        <f t="shared" si="6"/>
        <v/>
      </c>
      <c r="BY15" s="17" t="str">
        <f t="shared" si="6"/>
        <v/>
      </c>
      <c r="BZ15" s="17" t="str">
        <f t="shared" si="6"/>
        <v/>
      </c>
      <c r="CA15" s="17" t="str">
        <f t="shared" si="6"/>
        <v/>
      </c>
      <c r="CB15" s="17" t="str">
        <f t="shared" si="6"/>
        <v/>
      </c>
      <c r="CC15" s="17" t="str">
        <f t="shared" si="7"/>
        <v/>
      </c>
      <c r="CD15" s="17" t="str">
        <f t="shared" si="7"/>
        <v/>
      </c>
      <c r="CE15" s="17" t="str">
        <f t="shared" si="7"/>
        <v/>
      </c>
      <c r="CF15" s="17" t="str">
        <f t="shared" si="7"/>
        <v/>
      </c>
      <c r="CG15" s="17" t="str">
        <f t="shared" si="7"/>
        <v/>
      </c>
      <c r="CH15" s="17" t="str">
        <f t="shared" si="7"/>
        <v/>
      </c>
      <c r="CI15" s="17" t="str">
        <f t="shared" si="7"/>
        <v/>
      </c>
      <c r="CJ15" s="17" t="str">
        <f t="shared" si="7"/>
        <v/>
      </c>
      <c r="CK15" s="17" t="str">
        <f t="shared" si="7"/>
        <v/>
      </c>
      <c r="CL15" s="17" t="str">
        <f t="shared" si="7"/>
        <v/>
      </c>
      <c r="CM15" s="17" t="str">
        <f t="shared" si="8"/>
        <v/>
      </c>
      <c r="CN15" s="17" t="str">
        <f t="shared" si="8"/>
        <v/>
      </c>
      <c r="CO15" s="17" t="str">
        <f t="shared" si="8"/>
        <v/>
      </c>
      <c r="CP15" s="17" t="str">
        <f t="shared" si="8"/>
        <v/>
      </c>
      <c r="CQ15" s="17" t="str">
        <f t="shared" si="8"/>
        <v/>
      </c>
      <c r="CR15" s="17" t="str">
        <f t="shared" si="8"/>
        <v/>
      </c>
      <c r="CS15" s="17" t="str">
        <f t="shared" si="8"/>
        <v/>
      </c>
      <c r="CT15" s="17" t="str">
        <f t="shared" si="8"/>
        <v/>
      </c>
      <c r="CU15" s="17" t="str">
        <f t="shared" si="8"/>
        <v/>
      </c>
      <c r="CV15" s="17" t="str">
        <f t="shared" si="8"/>
        <v/>
      </c>
      <c r="CW15" s="17" t="str">
        <f t="shared" si="9"/>
        <v/>
      </c>
      <c r="CX15" s="17" t="str">
        <f t="shared" si="9"/>
        <v/>
      </c>
      <c r="CY15" s="17" t="str">
        <f t="shared" si="9"/>
        <v/>
      </c>
      <c r="CZ15" s="17" t="str">
        <f t="shared" si="9"/>
        <v/>
      </c>
      <c r="DA15" s="17" t="str">
        <f t="shared" si="9"/>
        <v/>
      </c>
      <c r="DB15" s="17" t="str">
        <f t="shared" si="9"/>
        <v/>
      </c>
      <c r="DC15" s="17" t="str">
        <f t="shared" si="9"/>
        <v/>
      </c>
      <c r="DD15" s="17" t="str">
        <f t="shared" si="9"/>
        <v/>
      </c>
      <c r="DE15" s="17" t="str">
        <f t="shared" si="9"/>
        <v/>
      </c>
      <c r="DF15" s="17" t="str">
        <f t="shared" si="9"/>
        <v/>
      </c>
      <c r="DG15" s="17" t="str">
        <f t="shared" si="10"/>
        <v/>
      </c>
      <c r="DH15" s="17" t="str">
        <f t="shared" si="10"/>
        <v/>
      </c>
      <c r="DI15" s="17" t="str">
        <f t="shared" si="10"/>
        <v/>
      </c>
      <c r="DJ15" s="17" t="str">
        <f t="shared" si="10"/>
        <v/>
      </c>
      <c r="DK15" s="17" t="str">
        <f t="shared" si="10"/>
        <v/>
      </c>
      <c r="DL15" s="17" t="str">
        <f t="shared" si="10"/>
        <v/>
      </c>
      <c r="DM15" s="17" t="str">
        <f t="shared" si="10"/>
        <v/>
      </c>
      <c r="DN15" s="17" t="str">
        <f t="shared" si="10"/>
        <v/>
      </c>
      <c r="DO15" s="17" t="str">
        <f t="shared" si="10"/>
        <v/>
      </c>
      <c r="DP15" s="17" t="str">
        <f t="shared" si="10"/>
        <v/>
      </c>
      <c r="DQ15" s="17" t="str">
        <f t="shared" si="11"/>
        <v/>
      </c>
      <c r="DR15" s="17" t="str">
        <f t="shared" si="11"/>
        <v/>
      </c>
      <c r="DS15" s="17" t="str">
        <f t="shared" si="11"/>
        <v/>
      </c>
      <c r="DT15" s="17" t="str">
        <f t="shared" si="11"/>
        <v/>
      </c>
      <c r="DU15" s="17" t="str">
        <f t="shared" si="11"/>
        <v/>
      </c>
      <c r="DV15" s="17" t="str">
        <f t="shared" si="11"/>
        <v/>
      </c>
      <c r="DW15" s="17" t="str">
        <f t="shared" si="11"/>
        <v/>
      </c>
      <c r="DX15" s="17" t="str">
        <f t="shared" si="11"/>
        <v/>
      </c>
      <c r="DY15" s="17" t="str">
        <f t="shared" si="11"/>
        <v/>
      </c>
      <c r="DZ15" s="17" t="str">
        <f t="shared" si="11"/>
        <v/>
      </c>
      <c r="EA15" s="17" t="str">
        <f t="shared" si="12"/>
        <v/>
      </c>
      <c r="EB15" s="17" t="str">
        <f t="shared" si="12"/>
        <v/>
      </c>
      <c r="EC15" s="17" t="str">
        <f t="shared" si="12"/>
        <v/>
      </c>
      <c r="ED15" s="17" t="str">
        <f t="shared" si="12"/>
        <v/>
      </c>
      <c r="EE15" s="17" t="str">
        <f t="shared" si="12"/>
        <v/>
      </c>
      <c r="EF15" s="17" t="str">
        <f t="shared" si="12"/>
        <v/>
      </c>
      <c r="EG15" s="17" t="str">
        <f t="shared" si="12"/>
        <v/>
      </c>
      <c r="EH15" s="17" t="str">
        <f t="shared" si="12"/>
        <v/>
      </c>
      <c r="EI15" s="17" t="str">
        <f t="shared" si="12"/>
        <v/>
      </c>
      <c r="EJ15" s="17" t="str">
        <f t="shared" si="12"/>
        <v/>
      </c>
      <c r="EK15" s="17" t="str">
        <f t="shared" si="13"/>
        <v/>
      </c>
      <c r="EL15" s="17" t="str">
        <f t="shared" si="13"/>
        <v/>
      </c>
      <c r="EM15" s="17" t="str">
        <f t="shared" si="13"/>
        <v/>
      </c>
      <c r="EN15" s="17" t="str">
        <f t="shared" si="13"/>
        <v/>
      </c>
      <c r="EO15" s="17" t="str">
        <f t="shared" si="13"/>
        <v/>
      </c>
      <c r="EP15" s="17" t="str">
        <f t="shared" si="13"/>
        <v/>
      </c>
      <c r="EQ15" s="17" t="str">
        <f t="shared" si="13"/>
        <v/>
      </c>
      <c r="ER15" s="17" t="str">
        <f t="shared" si="13"/>
        <v/>
      </c>
      <c r="ES15" s="17" t="str">
        <f t="shared" si="13"/>
        <v/>
      </c>
      <c r="ET15" s="17" t="str">
        <f t="shared" si="13"/>
        <v/>
      </c>
      <c r="EU15" s="17" t="str">
        <f t="shared" si="14"/>
        <v/>
      </c>
      <c r="EV15" s="17" t="str">
        <f t="shared" si="14"/>
        <v/>
      </c>
      <c r="EW15" s="17" t="str">
        <f t="shared" si="14"/>
        <v/>
      </c>
      <c r="EX15" s="17" t="str">
        <f t="shared" si="14"/>
        <v/>
      </c>
      <c r="EY15" s="17" t="str">
        <f t="shared" si="14"/>
        <v/>
      </c>
      <c r="EZ15" s="17" t="str">
        <f t="shared" si="14"/>
        <v/>
      </c>
      <c r="FA15" s="17" t="str">
        <f t="shared" si="14"/>
        <v/>
      </c>
      <c r="FB15" s="17" t="str">
        <f t="shared" si="14"/>
        <v/>
      </c>
      <c r="FC15" s="17" t="str">
        <f t="shared" si="14"/>
        <v/>
      </c>
      <c r="FD15" s="17" t="str">
        <f t="shared" si="14"/>
        <v/>
      </c>
      <c r="FE15" s="17" t="str">
        <f t="shared" si="15"/>
        <v/>
      </c>
      <c r="FF15" s="17" t="str">
        <f t="shared" si="15"/>
        <v/>
      </c>
      <c r="FG15" s="17" t="str">
        <f t="shared" si="15"/>
        <v/>
      </c>
      <c r="FH15" s="17" t="str">
        <f t="shared" si="15"/>
        <v/>
      </c>
      <c r="FI15" s="17" t="str">
        <f t="shared" si="15"/>
        <v/>
      </c>
      <c r="FJ15" s="17" t="str">
        <f t="shared" si="15"/>
        <v/>
      </c>
      <c r="FK15" s="17" t="str">
        <f t="shared" si="15"/>
        <v/>
      </c>
      <c r="FL15" s="17" t="str">
        <f t="shared" si="15"/>
        <v/>
      </c>
      <c r="FM15" s="17" t="str">
        <f t="shared" si="15"/>
        <v/>
      </c>
      <c r="FN15" s="17" t="str">
        <f t="shared" si="15"/>
        <v/>
      </c>
      <c r="FO15" s="17" t="str">
        <f t="shared" si="16"/>
        <v/>
      </c>
      <c r="FP15" s="17" t="str">
        <f t="shared" si="16"/>
        <v/>
      </c>
      <c r="FQ15" s="17" t="str">
        <f t="shared" si="16"/>
        <v/>
      </c>
      <c r="FR15" s="17" t="str">
        <f t="shared" si="16"/>
        <v/>
      </c>
      <c r="FS15" s="17" t="str">
        <f t="shared" si="16"/>
        <v/>
      </c>
      <c r="FT15" s="17" t="str">
        <f t="shared" si="16"/>
        <v/>
      </c>
      <c r="FU15" s="17" t="str">
        <f t="shared" si="16"/>
        <v/>
      </c>
      <c r="FV15" s="17" t="str">
        <f t="shared" si="16"/>
        <v/>
      </c>
      <c r="FW15" s="17" t="str">
        <f t="shared" si="16"/>
        <v/>
      </c>
      <c r="FX15" s="17" t="str">
        <f t="shared" si="16"/>
        <v/>
      </c>
      <c r="FY15" s="17" t="str">
        <f t="shared" si="17"/>
        <v/>
      </c>
      <c r="FZ15" s="17" t="str">
        <f t="shared" si="17"/>
        <v/>
      </c>
      <c r="GA15" s="17" t="str">
        <f t="shared" si="17"/>
        <v/>
      </c>
      <c r="GB15" s="17" t="str">
        <f t="shared" si="17"/>
        <v/>
      </c>
      <c r="GC15" s="17" t="str">
        <f t="shared" si="17"/>
        <v/>
      </c>
      <c r="GD15" s="17" t="str">
        <f t="shared" si="17"/>
        <v/>
      </c>
      <c r="GE15" s="17" t="str">
        <f t="shared" si="17"/>
        <v/>
      </c>
      <c r="GF15" s="17" t="str">
        <f t="shared" si="17"/>
        <v/>
      </c>
      <c r="GG15" s="17" t="str">
        <f t="shared" si="17"/>
        <v/>
      </c>
      <c r="GH15" s="17" t="str">
        <f t="shared" si="17"/>
        <v/>
      </c>
      <c r="GI15" s="17" t="str">
        <f t="shared" si="18"/>
        <v/>
      </c>
      <c r="GJ15" s="17" t="str">
        <f t="shared" si="18"/>
        <v/>
      </c>
      <c r="GK15" s="17" t="str">
        <f t="shared" si="18"/>
        <v/>
      </c>
      <c r="GL15" s="17" t="str">
        <f t="shared" si="18"/>
        <v/>
      </c>
      <c r="GM15" s="17" t="str">
        <f t="shared" si="18"/>
        <v/>
      </c>
      <c r="GN15" s="17" t="str">
        <f t="shared" si="18"/>
        <v/>
      </c>
      <c r="GO15" s="17" t="str">
        <f t="shared" si="18"/>
        <v/>
      </c>
      <c r="GP15" s="17" t="str">
        <f t="shared" si="18"/>
        <v/>
      </c>
      <c r="GQ15" s="17" t="str">
        <f t="shared" si="18"/>
        <v/>
      </c>
      <c r="GR15" s="17" t="str">
        <f t="shared" si="18"/>
        <v/>
      </c>
      <c r="GS15" s="17" t="str">
        <f t="shared" si="19"/>
        <v/>
      </c>
      <c r="GT15" s="17" t="str">
        <f t="shared" si="19"/>
        <v/>
      </c>
      <c r="GU15" s="17" t="str">
        <f t="shared" si="19"/>
        <v/>
      </c>
      <c r="GV15" s="17" t="str">
        <f t="shared" si="19"/>
        <v/>
      </c>
      <c r="GW15" s="17" t="str">
        <f t="shared" si="19"/>
        <v/>
      </c>
      <c r="GX15" s="17" t="str">
        <f t="shared" si="19"/>
        <v/>
      </c>
      <c r="GY15" s="17" t="str">
        <f t="shared" si="19"/>
        <v/>
      </c>
      <c r="GZ15" s="17" t="str">
        <f t="shared" si="19"/>
        <v/>
      </c>
      <c r="HA15" s="17" t="str">
        <f t="shared" si="19"/>
        <v/>
      </c>
      <c r="HB15" s="17" t="str">
        <f t="shared" si="19"/>
        <v/>
      </c>
      <c r="HC15" s="17" t="str">
        <f t="shared" si="20"/>
        <v/>
      </c>
      <c r="HD15" s="17" t="str">
        <f t="shared" si="20"/>
        <v/>
      </c>
      <c r="HE15" s="17" t="str">
        <f t="shared" si="20"/>
        <v/>
      </c>
      <c r="HF15" s="17" t="str">
        <f t="shared" si="20"/>
        <v/>
      </c>
      <c r="HG15" s="17" t="str">
        <f t="shared" si="20"/>
        <v/>
      </c>
      <c r="HH15" s="17" t="str">
        <f t="shared" si="20"/>
        <v/>
      </c>
      <c r="HI15" s="17" t="str">
        <f t="shared" si="20"/>
        <v/>
      </c>
      <c r="HJ15" s="17" t="str">
        <f t="shared" si="20"/>
        <v/>
      </c>
      <c r="HK15" s="17" t="str">
        <f t="shared" si="20"/>
        <v/>
      </c>
      <c r="HL15" s="17" t="str">
        <f t="shared" si="20"/>
        <v/>
      </c>
      <c r="HM15" s="17" t="str">
        <f t="shared" si="21"/>
        <v/>
      </c>
      <c r="HN15" s="17" t="str">
        <f t="shared" si="21"/>
        <v/>
      </c>
      <c r="HO15" s="17" t="str">
        <f t="shared" si="21"/>
        <v/>
      </c>
      <c r="HP15" s="17" t="str">
        <f t="shared" si="21"/>
        <v/>
      </c>
      <c r="HQ15" s="17" t="str">
        <f t="shared" si="21"/>
        <v/>
      </c>
      <c r="HR15" s="17" t="str">
        <f t="shared" si="21"/>
        <v/>
      </c>
      <c r="HS15" s="17" t="str">
        <f t="shared" si="21"/>
        <v/>
      </c>
      <c r="HT15" s="17" t="str">
        <f t="shared" si="21"/>
        <v/>
      </c>
      <c r="HU15" s="17" t="str">
        <f t="shared" si="21"/>
        <v/>
      </c>
      <c r="HV15" s="17" t="str">
        <f t="shared" si="21"/>
        <v/>
      </c>
      <c r="HW15" s="17" t="str">
        <f t="shared" si="21"/>
        <v/>
      </c>
      <c r="HX15" s="17" t="str">
        <f t="shared" si="21"/>
        <v/>
      </c>
      <c r="HY15" s="17" t="str">
        <f t="shared" si="21"/>
        <v/>
      </c>
      <c r="HZ15" s="17" t="str">
        <f t="shared" si="21"/>
        <v/>
      </c>
      <c r="IA15" s="17" t="str">
        <f t="shared" si="21"/>
        <v/>
      </c>
    </row>
    <row r="16" spans="1:235" ht="25.95" customHeight="1" x14ac:dyDescent="0.3">
      <c r="A16" s="7">
        <v>11</v>
      </c>
      <c r="B16" s="7">
        <f>Premissas!$B$6</f>
        <v>6</v>
      </c>
      <c r="C16" s="7">
        <f>10*Premissas!$B$8</f>
        <v>121.21212121212123</v>
      </c>
      <c r="D16" s="7">
        <f>C16+Premissas!$B$9</f>
        <v>169.21212121212125</v>
      </c>
      <c r="E16" s="7">
        <f>C16+Premissas!$B$11</f>
        <v>175.21212121212125</v>
      </c>
      <c r="F16" s="7">
        <f>E16+Premissas!$B$8</f>
        <v>187.33333333333337</v>
      </c>
      <c r="G16" s="7">
        <f>Premissas!$B$11</f>
        <v>54</v>
      </c>
      <c r="H16" s="7">
        <f>Premissas!$B$12</f>
        <v>3</v>
      </c>
      <c r="I16" s="7" t="s">
        <v>47</v>
      </c>
      <c r="J16" s="8" t="s">
        <v>48</v>
      </c>
      <c r="K16" s="17" t="str">
        <f t="shared" ref="K16:T25" si="22">IF(AND(K$4&gt;=$C16,K$4&lt;$D16),"R",IF(AND(K$4&gt;=$D16,K$4&lt;$E16),"P",IF(AND(K$4&gt;=$E16,K$4&lt;$F16),"T","")))</f>
        <v/>
      </c>
      <c r="L16" s="17" t="str">
        <f t="shared" si="22"/>
        <v/>
      </c>
      <c r="M16" s="17" t="str">
        <f t="shared" si="22"/>
        <v/>
      </c>
      <c r="N16" s="17" t="str">
        <f t="shared" si="22"/>
        <v/>
      </c>
      <c r="O16" s="17" t="str">
        <f t="shared" si="22"/>
        <v/>
      </c>
      <c r="P16" s="17" t="str">
        <f t="shared" si="22"/>
        <v/>
      </c>
      <c r="Q16" s="17" t="str">
        <f t="shared" si="22"/>
        <v/>
      </c>
      <c r="R16" s="17" t="str">
        <f t="shared" si="22"/>
        <v/>
      </c>
      <c r="S16" s="17" t="str">
        <f t="shared" si="22"/>
        <v/>
      </c>
      <c r="T16" s="17" t="str">
        <f t="shared" si="22"/>
        <v/>
      </c>
      <c r="U16" s="17" t="str">
        <f t="shared" ref="U16:AD25" si="23">IF(AND(U$4&gt;=$C16,U$4&lt;$D16),"R",IF(AND(U$4&gt;=$D16,U$4&lt;$E16),"P",IF(AND(U$4&gt;=$E16,U$4&lt;$F16),"T","")))</f>
        <v/>
      </c>
      <c r="V16" s="17" t="str">
        <f t="shared" si="23"/>
        <v/>
      </c>
      <c r="W16" s="17" t="str">
        <f t="shared" si="23"/>
        <v/>
      </c>
      <c r="X16" s="17" t="str">
        <f t="shared" si="23"/>
        <v/>
      </c>
      <c r="Y16" s="17" t="str">
        <f t="shared" si="23"/>
        <v/>
      </c>
      <c r="Z16" s="17" t="str">
        <f t="shared" si="23"/>
        <v/>
      </c>
      <c r="AA16" s="17" t="str">
        <f t="shared" si="23"/>
        <v/>
      </c>
      <c r="AB16" s="17" t="str">
        <f t="shared" si="23"/>
        <v/>
      </c>
      <c r="AC16" s="17" t="str">
        <f t="shared" si="23"/>
        <v/>
      </c>
      <c r="AD16" s="17" t="str">
        <f t="shared" si="23"/>
        <v/>
      </c>
      <c r="AE16" s="17" t="str">
        <f t="shared" ref="AE16:AN25" si="24">IF(AND(AE$4&gt;=$C16,AE$4&lt;$D16),"R",IF(AND(AE$4&gt;=$D16,AE$4&lt;$E16),"P",IF(AND(AE$4&gt;=$E16,AE$4&lt;$F16),"T","")))</f>
        <v/>
      </c>
      <c r="AF16" s="17" t="str">
        <f t="shared" si="24"/>
        <v/>
      </c>
      <c r="AG16" s="17" t="str">
        <f t="shared" si="24"/>
        <v/>
      </c>
      <c r="AH16" s="17" t="str">
        <f t="shared" si="24"/>
        <v/>
      </c>
      <c r="AI16" s="17" t="str">
        <f t="shared" si="24"/>
        <v/>
      </c>
      <c r="AJ16" s="17" t="str">
        <f t="shared" si="24"/>
        <v/>
      </c>
      <c r="AK16" s="17" t="str">
        <f t="shared" si="24"/>
        <v/>
      </c>
      <c r="AL16" s="17" t="str">
        <f t="shared" si="24"/>
        <v/>
      </c>
      <c r="AM16" s="17" t="str">
        <f t="shared" si="24"/>
        <v/>
      </c>
      <c r="AN16" s="17" t="str">
        <f t="shared" si="24"/>
        <v/>
      </c>
      <c r="AO16" s="17" t="str">
        <f t="shared" ref="AO16:AX25" si="25">IF(AND(AO$4&gt;=$C16,AO$4&lt;$D16),"R",IF(AND(AO$4&gt;=$D16,AO$4&lt;$E16),"P",IF(AND(AO$4&gt;=$E16,AO$4&lt;$F16),"T","")))</f>
        <v/>
      </c>
      <c r="AP16" s="17" t="str">
        <f t="shared" si="25"/>
        <v/>
      </c>
      <c r="AQ16" s="17" t="str">
        <f t="shared" si="25"/>
        <v/>
      </c>
      <c r="AR16" s="17" t="str">
        <f t="shared" si="25"/>
        <v/>
      </c>
      <c r="AS16" s="17" t="str">
        <f t="shared" si="25"/>
        <v/>
      </c>
      <c r="AT16" s="17" t="str">
        <f t="shared" si="25"/>
        <v/>
      </c>
      <c r="AU16" s="17" t="str">
        <f t="shared" si="25"/>
        <v/>
      </c>
      <c r="AV16" s="17" t="str">
        <f t="shared" si="25"/>
        <v/>
      </c>
      <c r="AW16" s="17" t="str">
        <f t="shared" si="25"/>
        <v/>
      </c>
      <c r="AX16" s="17" t="str">
        <f t="shared" si="25"/>
        <v/>
      </c>
      <c r="AY16" s="17" t="str">
        <f t="shared" ref="AY16:BH25" si="26">IF(AND(AY$4&gt;=$C16,AY$4&lt;$D16),"R",IF(AND(AY$4&gt;=$D16,AY$4&lt;$E16),"P",IF(AND(AY$4&gt;=$E16,AY$4&lt;$F16),"T","")))</f>
        <v/>
      </c>
      <c r="AZ16" s="17" t="str">
        <f t="shared" si="26"/>
        <v>R</v>
      </c>
      <c r="BA16" s="17" t="str">
        <f t="shared" si="26"/>
        <v>R</v>
      </c>
      <c r="BB16" s="17" t="str">
        <f t="shared" si="26"/>
        <v>R</v>
      </c>
      <c r="BC16" s="17" t="str">
        <f t="shared" si="26"/>
        <v>R</v>
      </c>
      <c r="BD16" s="17" t="str">
        <f t="shared" si="26"/>
        <v>R</v>
      </c>
      <c r="BE16" s="17" t="str">
        <f t="shared" si="26"/>
        <v>R</v>
      </c>
      <c r="BF16" s="17" t="str">
        <f t="shared" si="26"/>
        <v>R</v>
      </c>
      <c r="BG16" s="17" t="str">
        <f t="shared" si="26"/>
        <v>R</v>
      </c>
      <c r="BH16" s="17" t="str">
        <f t="shared" si="26"/>
        <v>R</v>
      </c>
      <c r="BI16" s="17" t="str">
        <f t="shared" ref="BI16:BR25" si="27">IF(AND(BI$4&gt;=$C16,BI$4&lt;$D16),"R",IF(AND(BI$4&gt;=$D16,BI$4&lt;$E16),"P",IF(AND(BI$4&gt;=$E16,BI$4&lt;$F16),"T","")))</f>
        <v>R</v>
      </c>
      <c r="BJ16" s="17" t="str">
        <f t="shared" si="27"/>
        <v>R</v>
      </c>
      <c r="BK16" s="17" t="str">
        <f t="shared" si="27"/>
        <v>R</v>
      </c>
      <c r="BL16" s="17" t="str">
        <f t="shared" si="27"/>
        <v>R</v>
      </c>
      <c r="BM16" s="17" t="str">
        <f t="shared" si="27"/>
        <v>R</v>
      </c>
      <c r="BN16" s="17" t="str">
        <f t="shared" si="27"/>
        <v>R</v>
      </c>
      <c r="BO16" s="17" t="str">
        <f t="shared" si="27"/>
        <v>R</v>
      </c>
      <c r="BP16" s="17" t="str">
        <f t="shared" si="27"/>
        <v>P</v>
      </c>
      <c r="BQ16" s="17" t="str">
        <f t="shared" si="27"/>
        <v>P</v>
      </c>
      <c r="BR16" s="17" t="str">
        <f t="shared" si="27"/>
        <v>T</v>
      </c>
      <c r="BS16" s="17" t="str">
        <f t="shared" ref="BS16:CB25" si="28">IF(AND(BS$4&gt;=$C16,BS$4&lt;$D16),"R",IF(AND(BS$4&gt;=$D16,BS$4&lt;$E16),"P",IF(AND(BS$4&gt;=$E16,BS$4&lt;$F16),"T","")))</f>
        <v>T</v>
      </c>
      <c r="BT16" s="17" t="str">
        <f t="shared" si="28"/>
        <v>T</v>
      </c>
      <c r="BU16" s="17" t="str">
        <f t="shared" si="28"/>
        <v>T</v>
      </c>
      <c r="BV16" s="17" t="str">
        <f t="shared" si="28"/>
        <v/>
      </c>
      <c r="BW16" s="17" t="str">
        <f t="shared" si="28"/>
        <v/>
      </c>
      <c r="BX16" s="17" t="str">
        <f t="shared" si="28"/>
        <v/>
      </c>
      <c r="BY16" s="17" t="str">
        <f t="shared" si="28"/>
        <v/>
      </c>
      <c r="BZ16" s="17" t="str">
        <f t="shared" si="28"/>
        <v/>
      </c>
      <c r="CA16" s="17" t="str">
        <f t="shared" si="28"/>
        <v/>
      </c>
      <c r="CB16" s="17" t="str">
        <f t="shared" si="28"/>
        <v/>
      </c>
      <c r="CC16" s="17" t="str">
        <f t="shared" ref="CC16:CL25" si="29">IF(AND(CC$4&gt;=$C16,CC$4&lt;$D16),"R",IF(AND(CC$4&gt;=$D16,CC$4&lt;$E16),"P",IF(AND(CC$4&gt;=$E16,CC$4&lt;$F16),"T","")))</f>
        <v/>
      </c>
      <c r="CD16" s="17" t="str">
        <f t="shared" si="29"/>
        <v/>
      </c>
      <c r="CE16" s="17" t="str">
        <f t="shared" si="29"/>
        <v/>
      </c>
      <c r="CF16" s="17" t="str">
        <f t="shared" si="29"/>
        <v/>
      </c>
      <c r="CG16" s="17" t="str">
        <f t="shared" si="29"/>
        <v/>
      </c>
      <c r="CH16" s="17" t="str">
        <f t="shared" si="29"/>
        <v/>
      </c>
      <c r="CI16" s="17" t="str">
        <f t="shared" si="29"/>
        <v/>
      </c>
      <c r="CJ16" s="17" t="str">
        <f t="shared" si="29"/>
        <v/>
      </c>
      <c r="CK16" s="17" t="str">
        <f t="shared" si="29"/>
        <v/>
      </c>
      <c r="CL16" s="17" t="str">
        <f t="shared" si="29"/>
        <v/>
      </c>
      <c r="CM16" s="17" t="str">
        <f t="shared" ref="CM16:CV25" si="30">IF(AND(CM$4&gt;=$C16,CM$4&lt;$D16),"R",IF(AND(CM$4&gt;=$D16,CM$4&lt;$E16),"P",IF(AND(CM$4&gt;=$E16,CM$4&lt;$F16),"T","")))</f>
        <v/>
      </c>
      <c r="CN16" s="17" t="str">
        <f t="shared" si="30"/>
        <v/>
      </c>
      <c r="CO16" s="17" t="str">
        <f t="shared" si="30"/>
        <v/>
      </c>
      <c r="CP16" s="17" t="str">
        <f t="shared" si="30"/>
        <v/>
      </c>
      <c r="CQ16" s="17" t="str">
        <f t="shared" si="30"/>
        <v/>
      </c>
      <c r="CR16" s="17" t="str">
        <f t="shared" si="30"/>
        <v/>
      </c>
      <c r="CS16" s="17" t="str">
        <f t="shared" si="30"/>
        <v/>
      </c>
      <c r="CT16" s="17" t="str">
        <f t="shared" si="30"/>
        <v/>
      </c>
      <c r="CU16" s="17" t="str">
        <f t="shared" si="30"/>
        <v/>
      </c>
      <c r="CV16" s="17" t="str">
        <f t="shared" si="30"/>
        <v/>
      </c>
      <c r="CW16" s="17" t="str">
        <f t="shared" ref="CW16:DF25" si="31">IF(AND(CW$4&gt;=$C16,CW$4&lt;$D16),"R",IF(AND(CW$4&gt;=$D16,CW$4&lt;$E16),"P",IF(AND(CW$4&gt;=$E16,CW$4&lt;$F16),"T","")))</f>
        <v/>
      </c>
      <c r="CX16" s="17" t="str">
        <f t="shared" si="31"/>
        <v/>
      </c>
      <c r="CY16" s="17" t="str">
        <f t="shared" si="31"/>
        <v/>
      </c>
      <c r="CZ16" s="17" t="str">
        <f t="shared" si="31"/>
        <v/>
      </c>
      <c r="DA16" s="17" t="str">
        <f t="shared" si="31"/>
        <v/>
      </c>
      <c r="DB16" s="17" t="str">
        <f t="shared" si="31"/>
        <v/>
      </c>
      <c r="DC16" s="17" t="str">
        <f t="shared" si="31"/>
        <v/>
      </c>
      <c r="DD16" s="17" t="str">
        <f t="shared" si="31"/>
        <v/>
      </c>
      <c r="DE16" s="17" t="str">
        <f t="shared" si="31"/>
        <v/>
      </c>
      <c r="DF16" s="17" t="str">
        <f t="shared" si="31"/>
        <v/>
      </c>
      <c r="DG16" s="17" t="str">
        <f t="shared" ref="DG16:DP25" si="32">IF(AND(DG$4&gt;=$C16,DG$4&lt;$D16),"R",IF(AND(DG$4&gt;=$D16,DG$4&lt;$E16),"P",IF(AND(DG$4&gt;=$E16,DG$4&lt;$F16),"T","")))</f>
        <v/>
      </c>
      <c r="DH16" s="17" t="str">
        <f t="shared" si="32"/>
        <v/>
      </c>
      <c r="DI16" s="17" t="str">
        <f t="shared" si="32"/>
        <v/>
      </c>
      <c r="DJ16" s="17" t="str">
        <f t="shared" si="32"/>
        <v/>
      </c>
      <c r="DK16" s="17" t="str">
        <f t="shared" si="32"/>
        <v/>
      </c>
      <c r="DL16" s="17" t="str">
        <f t="shared" si="32"/>
        <v/>
      </c>
      <c r="DM16" s="17" t="str">
        <f t="shared" si="32"/>
        <v/>
      </c>
      <c r="DN16" s="17" t="str">
        <f t="shared" si="32"/>
        <v/>
      </c>
      <c r="DO16" s="17" t="str">
        <f t="shared" si="32"/>
        <v/>
      </c>
      <c r="DP16" s="17" t="str">
        <f t="shared" si="32"/>
        <v/>
      </c>
      <c r="DQ16" s="17" t="str">
        <f t="shared" ref="DQ16:DZ25" si="33">IF(AND(DQ$4&gt;=$C16,DQ$4&lt;$D16),"R",IF(AND(DQ$4&gt;=$D16,DQ$4&lt;$E16),"P",IF(AND(DQ$4&gt;=$E16,DQ$4&lt;$F16),"T","")))</f>
        <v/>
      </c>
      <c r="DR16" s="17" t="str">
        <f t="shared" si="33"/>
        <v/>
      </c>
      <c r="DS16" s="17" t="str">
        <f t="shared" si="33"/>
        <v/>
      </c>
      <c r="DT16" s="17" t="str">
        <f t="shared" si="33"/>
        <v/>
      </c>
      <c r="DU16" s="17" t="str">
        <f t="shared" si="33"/>
        <v/>
      </c>
      <c r="DV16" s="17" t="str">
        <f t="shared" si="33"/>
        <v/>
      </c>
      <c r="DW16" s="17" t="str">
        <f t="shared" si="33"/>
        <v/>
      </c>
      <c r="DX16" s="17" t="str">
        <f t="shared" si="33"/>
        <v/>
      </c>
      <c r="DY16" s="17" t="str">
        <f t="shared" si="33"/>
        <v/>
      </c>
      <c r="DZ16" s="17" t="str">
        <f t="shared" si="33"/>
        <v/>
      </c>
      <c r="EA16" s="17" t="str">
        <f t="shared" ref="EA16:EJ25" si="34">IF(AND(EA$4&gt;=$C16,EA$4&lt;$D16),"R",IF(AND(EA$4&gt;=$D16,EA$4&lt;$E16),"P",IF(AND(EA$4&gt;=$E16,EA$4&lt;$F16),"T","")))</f>
        <v/>
      </c>
      <c r="EB16" s="17" t="str">
        <f t="shared" si="34"/>
        <v/>
      </c>
      <c r="EC16" s="17" t="str">
        <f t="shared" si="34"/>
        <v/>
      </c>
      <c r="ED16" s="17" t="str">
        <f t="shared" si="34"/>
        <v/>
      </c>
      <c r="EE16" s="17" t="str">
        <f t="shared" si="34"/>
        <v/>
      </c>
      <c r="EF16" s="17" t="str">
        <f t="shared" si="34"/>
        <v/>
      </c>
      <c r="EG16" s="17" t="str">
        <f t="shared" si="34"/>
        <v/>
      </c>
      <c r="EH16" s="17" t="str">
        <f t="shared" si="34"/>
        <v/>
      </c>
      <c r="EI16" s="17" t="str">
        <f t="shared" si="34"/>
        <v/>
      </c>
      <c r="EJ16" s="17" t="str">
        <f t="shared" si="34"/>
        <v/>
      </c>
      <c r="EK16" s="17" t="str">
        <f t="shared" ref="EK16:ET25" si="35">IF(AND(EK$4&gt;=$C16,EK$4&lt;$D16),"R",IF(AND(EK$4&gt;=$D16,EK$4&lt;$E16),"P",IF(AND(EK$4&gt;=$E16,EK$4&lt;$F16),"T","")))</f>
        <v/>
      </c>
      <c r="EL16" s="17" t="str">
        <f t="shared" si="35"/>
        <v/>
      </c>
      <c r="EM16" s="17" t="str">
        <f t="shared" si="35"/>
        <v/>
      </c>
      <c r="EN16" s="17" t="str">
        <f t="shared" si="35"/>
        <v/>
      </c>
      <c r="EO16" s="17" t="str">
        <f t="shared" si="35"/>
        <v/>
      </c>
      <c r="EP16" s="17" t="str">
        <f t="shared" si="35"/>
        <v/>
      </c>
      <c r="EQ16" s="17" t="str">
        <f t="shared" si="35"/>
        <v/>
      </c>
      <c r="ER16" s="17" t="str">
        <f t="shared" si="35"/>
        <v/>
      </c>
      <c r="ES16" s="17" t="str">
        <f t="shared" si="35"/>
        <v/>
      </c>
      <c r="ET16" s="17" t="str">
        <f t="shared" si="35"/>
        <v/>
      </c>
      <c r="EU16" s="17" t="str">
        <f t="shared" ref="EU16:FD25" si="36">IF(AND(EU$4&gt;=$C16,EU$4&lt;$D16),"R",IF(AND(EU$4&gt;=$D16,EU$4&lt;$E16),"P",IF(AND(EU$4&gt;=$E16,EU$4&lt;$F16),"T","")))</f>
        <v/>
      </c>
      <c r="EV16" s="17" t="str">
        <f t="shared" si="36"/>
        <v/>
      </c>
      <c r="EW16" s="17" t="str">
        <f t="shared" si="36"/>
        <v/>
      </c>
      <c r="EX16" s="17" t="str">
        <f t="shared" si="36"/>
        <v/>
      </c>
      <c r="EY16" s="17" t="str">
        <f t="shared" si="36"/>
        <v/>
      </c>
      <c r="EZ16" s="17" t="str">
        <f t="shared" si="36"/>
        <v/>
      </c>
      <c r="FA16" s="17" t="str">
        <f t="shared" si="36"/>
        <v/>
      </c>
      <c r="FB16" s="17" t="str">
        <f t="shared" si="36"/>
        <v/>
      </c>
      <c r="FC16" s="17" t="str">
        <f t="shared" si="36"/>
        <v/>
      </c>
      <c r="FD16" s="17" t="str">
        <f t="shared" si="36"/>
        <v/>
      </c>
      <c r="FE16" s="17" t="str">
        <f t="shared" ref="FE16:FN25" si="37">IF(AND(FE$4&gt;=$C16,FE$4&lt;$D16),"R",IF(AND(FE$4&gt;=$D16,FE$4&lt;$E16),"P",IF(AND(FE$4&gt;=$E16,FE$4&lt;$F16),"T","")))</f>
        <v/>
      </c>
      <c r="FF16" s="17" t="str">
        <f t="shared" si="37"/>
        <v/>
      </c>
      <c r="FG16" s="17" t="str">
        <f t="shared" si="37"/>
        <v/>
      </c>
      <c r="FH16" s="17" t="str">
        <f t="shared" si="37"/>
        <v/>
      </c>
      <c r="FI16" s="17" t="str">
        <f t="shared" si="37"/>
        <v/>
      </c>
      <c r="FJ16" s="17" t="str">
        <f t="shared" si="37"/>
        <v/>
      </c>
      <c r="FK16" s="17" t="str">
        <f t="shared" si="37"/>
        <v/>
      </c>
      <c r="FL16" s="17" t="str">
        <f t="shared" si="37"/>
        <v/>
      </c>
      <c r="FM16" s="17" t="str">
        <f t="shared" si="37"/>
        <v/>
      </c>
      <c r="FN16" s="17" t="str">
        <f t="shared" si="37"/>
        <v/>
      </c>
      <c r="FO16" s="17" t="str">
        <f t="shared" ref="FO16:FX25" si="38">IF(AND(FO$4&gt;=$C16,FO$4&lt;$D16),"R",IF(AND(FO$4&gt;=$D16,FO$4&lt;$E16),"P",IF(AND(FO$4&gt;=$E16,FO$4&lt;$F16),"T","")))</f>
        <v/>
      </c>
      <c r="FP16" s="17" t="str">
        <f t="shared" si="38"/>
        <v/>
      </c>
      <c r="FQ16" s="17" t="str">
        <f t="shared" si="38"/>
        <v/>
      </c>
      <c r="FR16" s="17" t="str">
        <f t="shared" si="38"/>
        <v/>
      </c>
      <c r="FS16" s="17" t="str">
        <f t="shared" si="38"/>
        <v/>
      </c>
      <c r="FT16" s="17" t="str">
        <f t="shared" si="38"/>
        <v/>
      </c>
      <c r="FU16" s="17" t="str">
        <f t="shared" si="38"/>
        <v/>
      </c>
      <c r="FV16" s="17" t="str">
        <f t="shared" si="38"/>
        <v/>
      </c>
      <c r="FW16" s="17" t="str">
        <f t="shared" si="38"/>
        <v/>
      </c>
      <c r="FX16" s="17" t="str">
        <f t="shared" si="38"/>
        <v/>
      </c>
      <c r="FY16" s="17" t="str">
        <f t="shared" ref="FY16:GH25" si="39">IF(AND(FY$4&gt;=$C16,FY$4&lt;$D16),"R",IF(AND(FY$4&gt;=$D16,FY$4&lt;$E16),"P",IF(AND(FY$4&gt;=$E16,FY$4&lt;$F16),"T","")))</f>
        <v/>
      </c>
      <c r="FZ16" s="17" t="str">
        <f t="shared" si="39"/>
        <v/>
      </c>
      <c r="GA16" s="17" t="str">
        <f t="shared" si="39"/>
        <v/>
      </c>
      <c r="GB16" s="17" t="str">
        <f t="shared" si="39"/>
        <v/>
      </c>
      <c r="GC16" s="17" t="str">
        <f t="shared" si="39"/>
        <v/>
      </c>
      <c r="GD16" s="17" t="str">
        <f t="shared" si="39"/>
        <v/>
      </c>
      <c r="GE16" s="17" t="str">
        <f t="shared" si="39"/>
        <v/>
      </c>
      <c r="GF16" s="17" t="str">
        <f t="shared" si="39"/>
        <v/>
      </c>
      <c r="GG16" s="17" t="str">
        <f t="shared" si="39"/>
        <v/>
      </c>
      <c r="GH16" s="17" t="str">
        <f t="shared" si="39"/>
        <v/>
      </c>
      <c r="GI16" s="17" t="str">
        <f t="shared" ref="GI16:GR25" si="40">IF(AND(GI$4&gt;=$C16,GI$4&lt;$D16),"R",IF(AND(GI$4&gt;=$D16,GI$4&lt;$E16),"P",IF(AND(GI$4&gt;=$E16,GI$4&lt;$F16),"T","")))</f>
        <v/>
      </c>
      <c r="GJ16" s="17" t="str">
        <f t="shared" si="40"/>
        <v/>
      </c>
      <c r="GK16" s="17" t="str">
        <f t="shared" si="40"/>
        <v/>
      </c>
      <c r="GL16" s="17" t="str">
        <f t="shared" si="40"/>
        <v/>
      </c>
      <c r="GM16" s="17" t="str">
        <f t="shared" si="40"/>
        <v/>
      </c>
      <c r="GN16" s="17" t="str">
        <f t="shared" si="40"/>
        <v/>
      </c>
      <c r="GO16" s="17" t="str">
        <f t="shared" si="40"/>
        <v/>
      </c>
      <c r="GP16" s="17" t="str">
        <f t="shared" si="40"/>
        <v/>
      </c>
      <c r="GQ16" s="17" t="str">
        <f t="shared" si="40"/>
        <v/>
      </c>
      <c r="GR16" s="17" t="str">
        <f t="shared" si="40"/>
        <v/>
      </c>
      <c r="GS16" s="17" t="str">
        <f t="shared" ref="GS16:HB25" si="41">IF(AND(GS$4&gt;=$C16,GS$4&lt;$D16),"R",IF(AND(GS$4&gt;=$D16,GS$4&lt;$E16),"P",IF(AND(GS$4&gt;=$E16,GS$4&lt;$F16),"T","")))</f>
        <v/>
      </c>
      <c r="GT16" s="17" t="str">
        <f t="shared" si="41"/>
        <v/>
      </c>
      <c r="GU16" s="17" t="str">
        <f t="shared" si="41"/>
        <v/>
      </c>
      <c r="GV16" s="17" t="str">
        <f t="shared" si="41"/>
        <v/>
      </c>
      <c r="GW16" s="17" t="str">
        <f t="shared" si="41"/>
        <v/>
      </c>
      <c r="GX16" s="17" t="str">
        <f t="shared" si="41"/>
        <v/>
      </c>
      <c r="GY16" s="17" t="str">
        <f t="shared" si="41"/>
        <v/>
      </c>
      <c r="GZ16" s="17" t="str">
        <f t="shared" si="41"/>
        <v/>
      </c>
      <c r="HA16" s="17" t="str">
        <f t="shared" si="41"/>
        <v/>
      </c>
      <c r="HB16" s="17" t="str">
        <f t="shared" si="41"/>
        <v/>
      </c>
      <c r="HC16" s="17" t="str">
        <f t="shared" ref="HC16:HL25" si="42">IF(AND(HC$4&gt;=$C16,HC$4&lt;$D16),"R",IF(AND(HC$4&gt;=$D16,HC$4&lt;$E16),"P",IF(AND(HC$4&gt;=$E16,HC$4&lt;$F16),"T","")))</f>
        <v/>
      </c>
      <c r="HD16" s="17" t="str">
        <f t="shared" si="42"/>
        <v/>
      </c>
      <c r="HE16" s="17" t="str">
        <f t="shared" si="42"/>
        <v/>
      </c>
      <c r="HF16" s="17" t="str">
        <f t="shared" si="42"/>
        <v/>
      </c>
      <c r="HG16" s="17" t="str">
        <f t="shared" si="42"/>
        <v/>
      </c>
      <c r="HH16" s="17" t="str">
        <f t="shared" si="42"/>
        <v/>
      </c>
      <c r="HI16" s="17" t="str">
        <f t="shared" si="42"/>
        <v/>
      </c>
      <c r="HJ16" s="17" t="str">
        <f t="shared" si="42"/>
        <v/>
      </c>
      <c r="HK16" s="17" t="str">
        <f t="shared" si="42"/>
        <v/>
      </c>
      <c r="HL16" s="17" t="str">
        <f t="shared" si="42"/>
        <v/>
      </c>
      <c r="HM16" s="17" t="str">
        <f t="shared" ref="HM16:IA25" si="43">IF(AND(HM$4&gt;=$C16,HM$4&lt;$D16),"R",IF(AND(HM$4&gt;=$D16,HM$4&lt;$E16),"P",IF(AND(HM$4&gt;=$E16,HM$4&lt;$F16),"T","")))</f>
        <v/>
      </c>
      <c r="HN16" s="17" t="str">
        <f t="shared" si="43"/>
        <v/>
      </c>
      <c r="HO16" s="17" t="str">
        <f t="shared" si="43"/>
        <v/>
      </c>
      <c r="HP16" s="17" t="str">
        <f t="shared" si="43"/>
        <v/>
      </c>
      <c r="HQ16" s="17" t="str">
        <f t="shared" si="43"/>
        <v/>
      </c>
      <c r="HR16" s="17" t="str">
        <f t="shared" si="43"/>
        <v/>
      </c>
      <c r="HS16" s="17" t="str">
        <f t="shared" si="43"/>
        <v/>
      </c>
      <c r="HT16" s="17" t="str">
        <f t="shared" si="43"/>
        <v/>
      </c>
      <c r="HU16" s="17" t="str">
        <f t="shared" si="43"/>
        <v/>
      </c>
      <c r="HV16" s="17" t="str">
        <f t="shared" si="43"/>
        <v/>
      </c>
      <c r="HW16" s="17" t="str">
        <f t="shared" si="43"/>
        <v/>
      </c>
      <c r="HX16" s="17" t="str">
        <f t="shared" si="43"/>
        <v/>
      </c>
      <c r="HY16" s="17" t="str">
        <f t="shared" si="43"/>
        <v/>
      </c>
      <c r="HZ16" s="17" t="str">
        <f t="shared" si="43"/>
        <v/>
      </c>
      <c r="IA16" s="17" t="str">
        <f t="shared" si="43"/>
        <v/>
      </c>
    </row>
    <row r="17" spans="1:235" ht="25.95" customHeight="1" x14ac:dyDescent="0.3">
      <c r="A17" s="7">
        <v>12</v>
      </c>
      <c r="B17" s="7">
        <f>Premissas!$B$6</f>
        <v>6</v>
      </c>
      <c r="C17" s="7">
        <f>11*Premissas!$B$8</f>
        <v>133.33333333333334</v>
      </c>
      <c r="D17" s="7">
        <f>C17+Premissas!$B$9</f>
        <v>181.33333333333334</v>
      </c>
      <c r="E17" s="7">
        <f>C17+Premissas!$B$11</f>
        <v>187.33333333333334</v>
      </c>
      <c r="F17" s="7">
        <f>E17+Premissas!$B$8</f>
        <v>199.45454545454547</v>
      </c>
      <c r="G17" s="7">
        <f>Premissas!$B$11</f>
        <v>54</v>
      </c>
      <c r="H17" s="7">
        <f>Premissas!$B$12</f>
        <v>3</v>
      </c>
      <c r="I17" s="7" t="s">
        <v>47</v>
      </c>
      <c r="J17" s="8" t="s">
        <v>48</v>
      </c>
      <c r="K17" s="17" t="str">
        <f t="shared" si="22"/>
        <v/>
      </c>
      <c r="L17" s="17" t="str">
        <f t="shared" si="22"/>
        <v/>
      </c>
      <c r="M17" s="17" t="str">
        <f t="shared" si="22"/>
        <v/>
      </c>
      <c r="N17" s="17" t="str">
        <f t="shared" si="22"/>
        <v/>
      </c>
      <c r="O17" s="17" t="str">
        <f t="shared" si="22"/>
        <v/>
      </c>
      <c r="P17" s="17" t="str">
        <f t="shared" si="22"/>
        <v/>
      </c>
      <c r="Q17" s="17" t="str">
        <f t="shared" si="22"/>
        <v/>
      </c>
      <c r="R17" s="17" t="str">
        <f t="shared" si="22"/>
        <v/>
      </c>
      <c r="S17" s="17" t="str">
        <f t="shared" si="22"/>
        <v/>
      </c>
      <c r="T17" s="17" t="str">
        <f t="shared" si="22"/>
        <v/>
      </c>
      <c r="U17" s="17" t="str">
        <f t="shared" si="23"/>
        <v/>
      </c>
      <c r="V17" s="17" t="str">
        <f t="shared" si="23"/>
        <v/>
      </c>
      <c r="W17" s="17" t="str">
        <f t="shared" si="23"/>
        <v/>
      </c>
      <c r="X17" s="17" t="str">
        <f t="shared" si="23"/>
        <v/>
      </c>
      <c r="Y17" s="17" t="str">
        <f t="shared" si="23"/>
        <v/>
      </c>
      <c r="Z17" s="17" t="str">
        <f t="shared" si="23"/>
        <v/>
      </c>
      <c r="AA17" s="17" t="str">
        <f t="shared" si="23"/>
        <v/>
      </c>
      <c r="AB17" s="17" t="str">
        <f t="shared" si="23"/>
        <v/>
      </c>
      <c r="AC17" s="17" t="str">
        <f t="shared" si="23"/>
        <v/>
      </c>
      <c r="AD17" s="17" t="str">
        <f t="shared" si="23"/>
        <v/>
      </c>
      <c r="AE17" s="17" t="str">
        <f t="shared" si="24"/>
        <v/>
      </c>
      <c r="AF17" s="17" t="str">
        <f t="shared" si="24"/>
        <v/>
      </c>
      <c r="AG17" s="17" t="str">
        <f t="shared" si="24"/>
        <v/>
      </c>
      <c r="AH17" s="17" t="str">
        <f t="shared" si="24"/>
        <v/>
      </c>
      <c r="AI17" s="17" t="str">
        <f t="shared" si="24"/>
        <v/>
      </c>
      <c r="AJ17" s="17" t="str">
        <f t="shared" si="24"/>
        <v/>
      </c>
      <c r="AK17" s="17" t="str">
        <f t="shared" si="24"/>
        <v/>
      </c>
      <c r="AL17" s="17" t="str">
        <f t="shared" si="24"/>
        <v/>
      </c>
      <c r="AM17" s="17" t="str">
        <f t="shared" si="24"/>
        <v/>
      </c>
      <c r="AN17" s="17" t="str">
        <f t="shared" si="24"/>
        <v/>
      </c>
      <c r="AO17" s="17" t="str">
        <f t="shared" si="25"/>
        <v/>
      </c>
      <c r="AP17" s="17" t="str">
        <f t="shared" si="25"/>
        <v/>
      </c>
      <c r="AQ17" s="17" t="str">
        <f t="shared" si="25"/>
        <v/>
      </c>
      <c r="AR17" s="17" t="str">
        <f t="shared" si="25"/>
        <v/>
      </c>
      <c r="AS17" s="17" t="str">
        <f t="shared" si="25"/>
        <v/>
      </c>
      <c r="AT17" s="17" t="str">
        <f t="shared" si="25"/>
        <v/>
      </c>
      <c r="AU17" s="17" t="str">
        <f t="shared" si="25"/>
        <v/>
      </c>
      <c r="AV17" s="17" t="str">
        <f t="shared" si="25"/>
        <v/>
      </c>
      <c r="AW17" s="17" t="str">
        <f t="shared" si="25"/>
        <v/>
      </c>
      <c r="AX17" s="17" t="str">
        <f t="shared" si="25"/>
        <v/>
      </c>
      <c r="AY17" s="17" t="str">
        <f t="shared" si="26"/>
        <v/>
      </c>
      <c r="AZ17" s="17" t="str">
        <f t="shared" si="26"/>
        <v/>
      </c>
      <c r="BA17" s="17" t="str">
        <f t="shared" si="26"/>
        <v/>
      </c>
      <c r="BB17" s="17" t="str">
        <f t="shared" si="26"/>
        <v/>
      </c>
      <c r="BC17" s="17" t="str">
        <f t="shared" si="26"/>
        <v/>
      </c>
      <c r="BD17" s="17" t="str">
        <f t="shared" si="26"/>
        <v>R</v>
      </c>
      <c r="BE17" s="17" t="str">
        <f t="shared" si="26"/>
        <v>R</v>
      </c>
      <c r="BF17" s="17" t="str">
        <f t="shared" si="26"/>
        <v>R</v>
      </c>
      <c r="BG17" s="17" t="str">
        <f t="shared" si="26"/>
        <v>R</v>
      </c>
      <c r="BH17" s="17" t="str">
        <f t="shared" si="26"/>
        <v>R</v>
      </c>
      <c r="BI17" s="17" t="str">
        <f t="shared" si="27"/>
        <v>R</v>
      </c>
      <c r="BJ17" s="17" t="str">
        <f t="shared" si="27"/>
        <v>R</v>
      </c>
      <c r="BK17" s="17" t="str">
        <f t="shared" si="27"/>
        <v>R</v>
      </c>
      <c r="BL17" s="17" t="str">
        <f t="shared" si="27"/>
        <v>R</v>
      </c>
      <c r="BM17" s="17" t="str">
        <f t="shared" si="27"/>
        <v>R</v>
      </c>
      <c r="BN17" s="17" t="str">
        <f t="shared" si="27"/>
        <v>R</v>
      </c>
      <c r="BO17" s="17" t="str">
        <f t="shared" si="27"/>
        <v>R</v>
      </c>
      <c r="BP17" s="17" t="str">
        <f t="shared" si="27"/>
        <v>R</v>
      </c>
      <c r="BQ17" s="17" t="str">
        <f t="shared" si="27"/>
        <v>R</v>
      </c>
      <c r="BR17" s="17" t="str">
        <f t="shared" si="27"/>
        <v>R</v>
      </c>
      <c r="BS17" s="17" t="str">
        <f t="shared" si="28"/>
        <v>R</v>
      </c>
      <c r="BT17" s="17" t="str">
        <f t="shared" si="28"/>
        <v>P</v>
      </c>
      <c r="BU17" s="17" t="str">
        <f t="shared" si="28"/>
        <v>P</v>
      </c>
      <c r="BV17" s="17" t="str">
        <f t="shared" si="28"/>
        <v>T</v>
      </c>
      <c r="BW17" s="17" t="str">
        <f t="shared" si="28"/>
        <v>T</v>
      </c>
      <c r="BX17" s="17" t="str">
        <f t="shared" si="28"/>
        <v>T</v>
      </c>
      <c r="BY17" s="17" t="str">
        <f t="shared" si="28"/>
        <v>T</v>
      </c>
      <c r="BZ17" s="17" t="str">
        <f t="shared" si="28"/>
        <v/>
      </c>
      <c r="CA17" s="17" t="str">
        <f t="shared" si="28"/>
        <v/>
      </c>
      <c r="CB17" s="17" t="str">
        <f t="shared" si="28"/>
        <v/>
      </c>
      <c r="CC17" s="17" t="str">
        <f t="shared" si="29"/>
        <v/>
      </c>
      <c r="CD17" s="17" t="str">
        <f t="shared" si="29"/>
        <v/>
      </c>
      <c r="CE17" s="17" t="str">
        <f t="shared" si="29"/>
        <v/>
      </c>
      <c r="CF17" s="17" t="str">
        <f t="shared" si="29"/>
        <v/>
      </c>
      <c r="CG17" s="17" t="str">
        <f t="shared" si="29"/>
        <v/>
      </c>
      <c r="CH17" s="17" t="str">
        <f t="shared" si="29"/>
        <v/>
      </c>
      <c r="CI17" s="17" t="str">
        <f t="shared" si="29"/>
        <v/>
      </c>
      <c r="CJ17" s="17" t="str">
        <f t="shared" si="29"/>
        <v/>
      </c>
      <c r="CK17" s="17" t="str">
        <f t="shared" si="29"/>
        <v/>
      </c>
      <c r="CL17" s="17" t="str">
        <f t="shared" si="29"/>
        <v/>
      </c>
      <c r="CM17" s="17" t="str">
        <f t="shared" si="30"/>
        <v/>
      </c>
      <c r="CN17" s="17" t="str">
        <f t="shared" si="30"/>
        <v/>
      </c>
      <c r="CO17" s="17" t="str">
        <f t="shared" si="30"/>
        <v/>
      </c>
      <c r="CP17" s="17" t="str">
        <f t="shared" si="30"/>
        <v/>
      </c>
      <c r="CQ17" s="17" t="str">
        <f t="shared" si="30"/>
        <v/>
      </c>
      <c r="CR17" s="17" t="str">
        <f t="shared" si="30"/>
        <v/>
      </c>
      <c r="CS17" s="17" t="str">
        <f t="shared" si="30"/>
        <v/>
      </c>
      <c r="CT17" s="17" t="str">
        <f t="shared" si="30"/>
        <v/>
      </c>
      <c r="CU17" s="17" t="str">
        <f t="shared" si="30"/>
        <v/>
      </c>
      <c r="CV17" s="17" t="str">
        <f t="shared" si="30"/>
        <v/>
      </c>
      <c r="CW17" s="17" t="str">
        <f t="shared" si="31"/>
        <v/>
      </c>
      <c r="CX17" s="17" t="str">
        <f t="shared" si="31"/>
        <v/>
      </c>
      <c r="CY17" s="17" t="str">
        <f t="shared" si="31"/>
        <v/>
      </c>
      <c r="CZ17" s="17" t="str">
        <f t="shared" si="31"/>
        <v/>
      </c>
      <c r="DA17" s="17" t="str">
        <f t="shared" si="31"/>
        <v/>
      </c>
      <c r="DB17" s="17" t="str">
        <f t="shared" si="31"/>
        <v/>
      </c>
      <c r="DC17" s="17" t="str">
        <f t="shared" si="31"/>
        <v/>
      </c>
      <c r="DD17" s="17" t="str">
        <f t="shared" si="31"/>
        <v/>
      </c>
      <c r="DE17" s="17" t="str">
        <f t="shared" si="31"/>
        <v/>
      </c>
      <c r="DF17" s="17" t="str">
        <f t="shared" si="31"/>
        <v/>
      </c>
      <c r="DG17" s="17" t="str">
        <f t="shared" si="32"/>
        <v/>
      </c>
      <c r="DH17" s="17" t="str">
        <f t="shared" si="32"/>
        <v/>
      </c>
      <c r="DI17" s="17" t="str">
        <f t="shared" si="32"/>
        <v/>
      </c>
      <c r="DJ17" s="17" t="str">
        <f t="shared" si="32"/>
        <v/>
      </c>
      <c r="DK17" s="17" t="str">
        <f t="shared" si="32"/>
        <v/>
      </c>
      <c r="DL17" s="17" t="str">
        <f t="shared" si="32"/>
        <v/>
      </c>
      <c r="DM17" s="17" t="str">
        <f t="shared" si="32"/>
        <v/>
      </c>
      <c r="DN17" s="17" t="str">
        <f t="shared" si="32"/>
        <v/>
      </c>
      <c r="DO17" s="17" t="str">
        <f t="shared" si="32"/>
        <v/>
      </c>
      <c r="DP17" s="17" t="str">
        <f t="shared" si="32"/>
        <v/>
      </c>
      <c r="DQ17" s="17" t="str">
        <f t="shared" si="33"/>
        <v/>
      </c>
      <c r="DR17" s="17" t="str">
        <f t="shared" si="33"/>
        <v/>
      </c>
      <c r="DS17" s="17" t="str">
        <f t="shared" si="33"/>
        <v/>
      </c>
      <c r="DT17" s="17" t="str">
        <f t="shared" si="33"/>
        <v/>
      </c>
      <c r="DU17" s="17" t="str">
        <f t="shared" si="33"/>
        <v/>
      </c>
      <c r="DV17" s="17" t="str">
        <f t="shared" si="33"/>
        <v/>
      </c>
      <c r="DW17" s="17" t="str">
        <f t="shared" si="33"/>
        <v/>
      </c>
      <c r="DX17" s="17" t="str">
        <f t="shared" si="33"/>
        <v/>
      </c>
      <c r="DY17" s="17" t="str">
        <f t="shared" si="33"/>
        <v/>
      </c>
      <c r="DZ17" s="17" t="str">
        <f t="shared" si="33"/>
        <v/>
      </c>
      <c r="EA17" s="17" t="str">
        <f t="shared" si="34"/>
        <v/>
      </c>
      <c r="EB17" s="17" t="str">
        <f t="shared" si="34"/>
        <v/>
      </c>
      <c r="EC17" s="17" t="str">
        <f t="shared" si="34"/>
        <v/>
      </c>
      <c r="ED17" s="17" t="str">
        <f t="shared" si="34"/>
        <v/>
      </c>
      <c r="EE17" s="17" t="str">
        <f t="shared" si="34"/>
        <v/>
      </c>
      <c r="EF17" s="17" t="str">
        <f t="shared" si="34"/>
        <v/>
      </c>
      <c r="EG17" s="17" t="str">
        <f t="shared" si="34"/>
        <v/>
      </c>
      <c r="EH17" s="17" t="str">
        <f t="shared" si="34"/>
        <v/>
      </c>
      <c r="EI17" s="17" t="str">
        <f t="shared" si="34"/>
        <v/>
      </c>
      <c r="EJ17" s="17" t="str">
        <f t="shared" si="34"/>
        <v/>
      </c>
      <c r="EK17" s="17" t="str">
        <f t="shared" si="35"/>
        <v/>
      </c>
      <c r="EL17" s="17" t="str">
        <f t="shared" si="35"/>
        <v/>
      </c>
      <c r="EM17" s="17" t="str">
        <f t="shared" si="35"/>
        <v/>
      </c>
      <c r="EN17" s="17" t="str">
        <f t="shared" si="35"/>
        <v/>
      </c>
      <c r="EO17" s="17" t="str">
        <f t="shared" si="35"/>
        <v/>
      </c>
      <c r="EP17" s="17" t="str">
        <f t="shared" si="35"/>
        <v/>
      </c>
      <c r="EQ17" s="17" t="str">
        <f t="shared" si="35"/>
        <v/>
      </c>
      <c r="ER17" s="17" t="str">
        <f t="shared" si="35"/>
        <v/>
      </c>
      <c r="ES17" s="17" t="str">
        <f t="shared" si="35"/>
        <v/>
      </c>
      <c r="ET17" s="17" t="str">
        <f t="shared" si="35"/>
        <v/>
      </c>
      <c r="EU17" s="17" t="str">
        <f t="shared" si="36"/>
        <v/>
      </c>
      <c r="EV17" s="17" t="str">
        <f t="shared" si="36"/>
        <v/>
      </c>
      <c r="EW17" s="17" t="str">
        <f t="shared" si="36"/>
        <v/>
      </c>
      <c r="EX17" s="17" t="str">
        <f t="shared" si="36"/>
        <v/>
      </c>
      <c r="EY17" s="17" t="str">
        <f t="shared" si="36"/>
        <v/>
      </c>
      <c r="EZ17" s="17" t="str">
        <f t="shared" si="36"/>
        <v/>
      </c>
      <c r="FA17" s="17" t="str">
        <f t="shared" si="36"/>
        <v/>
      </c>
      <c r="FB17" s="17" t="str">
        <f t="shared" si="36"/>
        <v/>
      </c>
      <c r="FC17" s="17" t="str">
        <f t="shared" si="36"/>
        <v/>
      </c>
      <c r="FD17" s="17" t="str">
        <f t="shared" si="36"/>
        <v/>
      </c>
      <c r="FE17" s="17" t="str">
        <f t="shared" si="37"/>
        <v/>
      </c>
      <c r="FF17" s="17" t="str">
        <f t="shared" si="37"/>
        <v/>
      </c>
      <c r="FG17" s="17" t="str">
        <f t="shared" si="37"/>
        <v/>
      </c>
      <c r="FH17" s="17" t="str">
        <f t="shared" si="37"/>
        <v/>
      </c>
      <c r="FI17" s="17" t="str">
        <f t="shared" si="37"/>
        <v/>
      </c>
      <c r="FJ17" s="17" t="str">
        <f t="shared" si="37"/>
        <v/>
      </c>
      <c r="FK17" s="17" t="str">
        <f t="shared" si="37"/>
        <v/>
      </c>
      <c r="FL17" s="17" t="str">
        <f t="shared" si="37"/>
        <v/>
      </c>
      <c r="FM17" s="17" t="str">
        <f t="shared" si="37"/>
        <v/>
      </c>
      <c r="FN17" s="17" t="str">
        <f t="shared" si="37"/>
        <v/>
      </c>
      <c r="FO17" s="17" t="str">
        <f t="shared" si="38"/>
        <v/>
      </c>
      <c r="FP17" s="17" t="str">
        <f t="shared" si="38"/>
        <v/>
      </c>
      <c r="FQ17" s="17" t="str">
        <f t="shared" si="38"/>
        <v/>
      </c>
      <c r="FR17" s="17" t="str">
        <f t="shared" si="38"/>
        <v/>
      </c>
      <c r="FS17" s="17" t="str">
        <f t="shared" si="38"/>
        <v/>
      </c>
      <c r="FT17" s="17" t="str">
        <f t="shared" si="38"/>
        <v/>
      </c>
      <c r="FU17" s="17" t="str">
        <f t="shared" si="38"/>
        <v/>
      </c>
      <c r="FV17" s="17" t="str">
        <f t="shared" si="38"/>
        <v/>
      </c>
      <c r="FW17" s="17" t="str">
        <f t="shared" si="38"/>
        <v/>
      </c>
      <c r="FX17" s="17" t="str">
        <f t="shared" si="38"/>
        <v/>
      </c>
      <c r="FY17" s="17" t="str">
        <f t="shared" si="39"/>
        <v/>
      </c>
      <c r="FZ17" s="17" t="str">
        <f t="shared" si="39"/>
        <v/>
      </c>
      <c r="GA17" s="17" t="str">
        <f t="shared" si="39"/>
        <v/>
      </c>
      <c r="GB17" s="17" t="str">
        <f t="shared" si="39"/>
        <v/>
      </c>
      <c r="GC17" s="17" t="str">
        <f t="shared" si="39"/>
        <v/>
      </c>
      <c r="GD17" s="17" t="str">
        <f t="shared" si="39"/>
        <v/>
      </c>
      <c r="GE17" s="17" t="str">
        <f t="shared" si="39"/>
        <v/>
      </c>
      <c r="GF17" s="17" t="str">
        <f t="shared" si="39"/>
        <v/>
      </c>
      <c r="GG17" s="17" t="str">
        <f t="shared" si="39"/>
        <v/>
      </c>
      <c r="GH17" s="17" t="str">
        <f t="shared" si="39"/>
        <v/>
      </c>
      <c r="GI17" s="17" t="str">
        <f t="shared" si="40"/>
        <v/>
      </c>
      <c r="GJ17" s="17" t="str">
        <f t="shared" si="40"/>
        <v/>
      </c>
      <c r="GK17" s="17" t="str">
        <f t="shared" si="40"/>
        <v/>
      </c>
      <c r="GL17" s="17" t="str">
        <f t="shared" si="40"/>
        <v/>
      </c>
      <c r="GM17" s="17" t="str">
        <f t="shared" si="40"/>
        <v/>
      </c>
      <c r="GN17" s="17" t="str">
        <f t="shared" si="40"/>
        <v/>
      </c>
      <c r="GO17" s="17" t="str">
        <f t="shared" si="40"/>
        <v/>
      </c>
      <c r="GP17" s="17" t="str">
        <f t="shared" si="40"/>
        <v/>
      </c>
      <c r="GQ17" s="17" t="str">
        <f t="shared" si="40"/>
        <v/>
      </c>
      <c r="GR17" s="17" t="str">
        <f t="shared" si="40"/>
        <v/>
      </c>
      <c r="GS17" s="17" t="str">
        <f t="shared" si="41"/>
        <v/>
      </c>
      <c r="GT17" s="17" t="str">
        <f t="shared" si="41"/>
        <v/>
      </c>
      <c r="GU17" s="17" t="str">
        <f t="shared" si="41"/>
        <v/>
      </c>
      <c r="GV17" s="17" t="str">
        <f t="shared" si="41"/>
        <v/>
      </c>
      <c r="GW17" s="17" t="str">
        <f t="shared" si="41"/>
        <v/>
      </c>
      <c r="GX17" s="17" t="str">
        <f t="shared" si="41"/>
        <v/>
      </c>
      <c r="GY17" s="17" t="str">
        <f t="shared" si="41"/>
        <v/>
      </c>
      <c r="GZ17" s="17" t="str">
        <f t="shared" si="41"/>
        <v/>
      </c>
      <c r="HA17" s="17" t="str">
        <f t="shared" si="41"/>
        <v/>
      </c>
      <c r="HB17" s="17" t="str">
        <f t="shared" si="41"/>
        <v/>
      </c>
      <c r="HC17" s="17" t="str">
        <f t="shared" si="42"/>
        <v/>
      </c>
      <c r="HD17" s="17" t="str">
        <f t="shared" si="42"/>
        <v/>
      </c>
      <c r="HE17" s="17" t="str">
        <f t="shared" si="42"/>
        <v/>
      </c>
      <c r="HF17" s="17" t="str">
        <f t="shared" si="42"/>
        <v/>
      </c>
      <c r="HG17" s="17" t="str">
        <f t="shared" si="42"/>
        <v/>
      </c>
      <c r="HH17" s="17" t="str">
        <f t="shared" si="42"/>
        <v/>
      </c>
      <c r="HI17" s="17" t="str">
        <f t="shared" si="42"/>
        <v/>
      </c>
      <c r="HJ17" s="17" t="str">
        <f t="shared" si="42"/>
        <v/>
      </c>
      <c r="HK17" s="17" t="str">
        <f t="shared" si="42"/>
        <v/>
      </c>
      <c r="HL17" s="17" t="str">
        <f t="shared" si="42"/>
        <v/>
      </c>
      <c r="HM17" s="17" t="str">
        <f t="shared" si="43"/>
        <v/>
      </c>
      <c r="HN17" s="17" t="str">
        <f t="shared" si="43"/>
        <v/>
      </c>
      <c r="HO17" s="17" t="str">
        <f t="shared" si="43"/>
        <v/>
      </c>
      <c r="HP17" s="17" t="str">
        <f t="shared" si="43"/>
        <v/>
      </c>
      <c r="HQ17" s="17" t="str">
        <f t="shared" si="43"/>
        <v/>
      </c>
      <c r="HR17" s="17" t="str">
        <f t="shared" si="43"/>
        <v/>
      </c>
      <c r="HS17" s="17" t="str">
        <f t="shared" si="43"/>
        <v/>
      </c>
      <c r="HT17" s="17" t="str">
        <f t="shared" si="43"/>
        <v/>
      </c>
      <c r="HU17" s="17" t="str">
        <f t="shared" si="43"/>
        <v/>
      </c>
      <c r="HV17" s="17" t="str">
        <f t="shared" si="43"/>
        <v/>
      </c>
      <c r="HW17" s="17" t="str">
        <f t="shared" si="43"/>
        <v/>
      </c>
      <c r="HX17" s="17" t="str">
        <f t="shared" si="43"/>
        <v/>
      </c>
      <c r="HY17" s="17" t="str">
        <f t="shared" si="43"/>
        <v/>
      </c>
      <c r="HZ17" s="17" t="str">
        <f t="shared" si="43"/>
        <v/>
      </c>
      <c r="IA17" s="17" t="str">
        <f t="shared" si="43"/>
        <v/>
      </c>
    </row>
    <row r="18" spans="1:235" ht="25.95" customHeight="1" x14ac:dyDescent="0.3">
      <c r="A18" s="7">
        <v>13</v>
      </c>
      <c r="B18" s="7">
        <f>Premissas!$B$6</f>
        <v>6</v>
      </c>
      <c r="C18" s="7">
        <f>12*Premissas!$B$8</f>
        <v>145.45454545454547</v>
      </c>
      <c r="D18" s="7">
        <f>C18+Premissas!$B$9</f>
        <v>193.45454545454547</v>
      </c>
      <c r="E18" s="7">
        <f>C18+Premissas!$B$11</f>
        <v>199.45454545454547</v>
      </c>
      <c r="F18" s="7">
        <f>E18+Premissas!$B$8</f>
        <v>211.57575757575759</v>
      </c>
      <c r="G18" s="7">
        <f>Premissas!$B$11</f>
        <v>54</v>
      </c>
      <c r="H18" s="7">
        <f>Premissas!$B$12</f>
        <v>3</v>
      </c>
      <c r="I18" s="7" t="s">
        <v>47</v>
      </c>
      <c r="J18" s="8" t="s">
        <v>48</v>
      </c>
      <c r="K18" s="17" t="str">
        <f t="shared" si="22"/>
        <v/>
      </c>
      <c r="L18" s="17" t="str">
        <f t="shared" si="22"/>
        <v/>
      </c>
      <c r="M18" s="17" t="str">
        <f t="shared" si="22"/>
        <v/>
      </c>
      <c r="N18" s="17" t="str">
        <f t="shared" si="22"/>
        <v/>
      </c>
      <c r="O18" s="17" t="str">
        <f t="shared" si="22"/>
        <v/>
      </c>
      <c r="P18" s="17" t="str">
        <f t="shared" si="22"/>
        <v/>
      </c>
      <c r="Q18" s="17" t="str">
        <f t="shared" si="22"/>
        <v/>
      </c>
      <c r="R18" s="17" t="str">
        <f t="shared" si="22"/>
        <v/>
      </c>
      <c r="S18" s="17" t="str">
        <f t="shared" si="22"/>
        <v/>
      </c>
      <c r="T18" s="17" t="str">
        <f t="shared" si="22"/>
        <v/>
      </c>
      <c r="U18" s="17" t="str">
        <f t="shared" si="23"/>
        <v/>
      </c>
      <c r="V18" s="17" t="str">
        <f t="shared" si="23"/>
        <v/>
      </c>
      <c r="W18" s="17" t="str">
        <f t="shared" si="23"/>
        <v/>
      </c>
      <c r="X18" s="17" t="str">
        <f t="shared" si="23"/>
        <v/>
      </c>
      <c r="Y18" s="17" t="str">
        <f t="shared" si="23"/>
        <v/>
      </c>
      <c r="Z18" s="17" t="str">
        <f t="shared" si="23"/>
        <v/>
      </c>
      <c r="AA18" s="17" t="str">
        <f t="shared" si="23"/>
        <v/>
      </c>
      <c r="AB18" s="17" t="str">
        <f t="shared" si="23"/>
        <v/>
      </c>
      <c r="AC18" s="17" t="str">
        <f t="shared" si="23"/>
        <v/>
      </c>
      <c r="AD18" s="17" t="str">
        <f t="shared" si="23"/>
        <v/>
      </c>
      <c r="AE18" s="17" t="str">
        <f t="shared" si="24"/>
        <v/>
      </c>
      <c r="AF18" s="17" t="str">
        <f t="shared" si="24"/>
        <v/>
      </c>
      <c r="AG18" s="17" t="str">
        <f t="shared" si="24"/>
        <v/>
      </c>
      <c r="AH18" s="17" t="str">
        <f t="shared" si="24"/>
        <v/>
      </c>
      <c r="AI18" s="17" t="str">
        <f t="shared" si="24"/>
        <v/>
      </c>
      <c r="AJ18" s="17" t="str">
        <f t="shared" si="24"/>
        <v/>
      </c>
      <c r="AK18" s="17" t="str">
        <f t="shared" si="24"/>
        <v/>
      </c>
      <c r="AL18" s="17" t="str">
        <f t="shared" si="24"/>
        <v/>
      </c>
      <c r="AM18" s="17" t="str">
        <f t="shared" si="24"/>
        <v/>
      </c>
      <c r="AN18" s="17" t="str">
        <f t="shared" si="24"/>
        <v/>
      </c>
      <c r="AO18" s="17" t="str">
        <f t="shared" si="25"/>
        <v/>
      </c>
      <c r="AP18" s="17" t="str">
        <f t="shared" si="25"/>
        <v/>
      </c>
      <c r="AQ18" s="17" t="str">
        <f t="shared" si="25"/>
        <v/>
      </c>
      <c r="AR18" s="17" t="str">
        <f t="shared" si="25"/>
        <v/>
      </c>
      <c r="AS18" s="17" t="str">
        <f t="shared" si="25"/>
        <v/>
      </c>
      <c r="AT18" s="17" t="str">
        <f t="shared" si="25"/>
        <v/>
      </c>
      <c r="AU18" s="17" t="str">
        <f t="shared" si="25"/>
        <v/>
      </c>
      <c r="AV18" s="17" t="str">
        <f t="shared" si="25"/>
        <v/>
      </c>
      <c r="AW18" s="17" t="str">
        <f t="shared" si="25"/>
        <v/>
      </c>
      <c r="AX18" s="17" t="str">
        <f t="shared" si="25"/>
        <v/>
      </c>
      <c r="AY18" s="17" t="str">
        <f t="shared" si="26"/>
        <v/>
      </c>
      <c r="AZ18" s="17" t="str">
        <f t="shared" si="26"/>
        <v/>
      </c>
      <c r="BA18" s="17" t="str">
        <f t="shared" si="26"/>
        <v/>
      </c>
      <c r="BB18" s="17" t="str">
        <f t="shared" si="26"/>
        <v/>
      </c>
      <c r="BC18" s="17" t="str">
        <f t="shared" si="26"/>
        <v/>
      </c>
      <c r="BD18" s="17" t="str">
        <f t="shared" si="26"/>
        <v/>
      </c>
      <c r="BE18" s="17" t="str">
        <f t="shared" si="26"/>
        <v/>
      </c>
      <c r="BF18" s="17" t="str">
        <f t="shared" si="26"/>
        <v/>
      </c>
      <c r="BG18" s="17" t="str">
        <f t="shared" si="26"/>
        <v/>
      </c>
      <c r="BH18" s="17" t="str">
        <f t="shared" si="26"/>
        <v>R</v>
      </c>
      <c r="BI18" s="17" t="str">
        <f t="shared" si="27"/>
        <v>R</v>
      </c>
      <c r="BJ18" s="17" t="str">
        <f t="shared" si="27"/>
        <v>R</v>
      </c>
      <c r="BK18" s="17" t="str">
        <f t="shared" si="27"/>
        <v>R</v>
      </c>
      <c r="BL18" s="17" t="str">
        <f t="shared" si="27"/>
        <v>R</v>
      </c>
      <c r="BM18" s="17" t="str">
        <f t="shared" si="27"/>
        <v>R</v>
      </c>
      <c r="BN18" s="17" t="str">
        <f t="shared" si="27"/>
        <v>R</v>
      </c>
      <c r="BO18" s="17" t="str">
        <f t="shared" si="27"/>
        <v>R</v>
      </c>
      <c r="BP18" s="17" t="str">
        <f t="shared" si="27"/>
        <v>R</v>
      </c>
      <c r="BQ18" s="17" t="str">
        <f t="shared" si="27"/>
        <v>R</v>
      </c>
      <c r="BR18" s="17" t="str">
        <f t="shared" si="27"/>
        <v>R</v>
      </c>
      <c r="BS18" s="17" t="str">
        <f t="shared" si="28"/>
        <v>R</v>
      </c>
      <c r="BT18" s="17" t="str">
        <f t="shared" si="28"/>
        <v>R</v>
      </c>
      <c r="BU18" s="17" t="str">
        <f t="shared" si="28"/>
        <v>R</v>
      </c>
      <c r="BV18" s="17" t="str">
        <f t="shared" si="28"/>
        <v>R</v>
      </c>
      <c r="BW18" s="17" t="str">
        <f t="shared" si="28"/>
        <v>R</v>
      </c>
      <c r="BX18" s="17" t="str">
        <f t="shared" si="28"/>
        <v>P</v>
      </c>
      <c r="BY18" s="17" t="str">
        <f t="shared" si="28"/>
        <v>P</v>
      </c>
      <c r="BZ18" s="17" t="str">
        <f t="shared" si="28"/>
        <v>T</v>
      </c>
      <c r="CA18" s="17" t="str">
        <f t="shared" si="28"/>
        <v>T</v>
      </c>
      <c r="CB18" s="17" t="str">
        <f t="shared" si="28"/>
        <v>T</v>
      </c>
      <c r="CC18" s="17" t="str">
        <f t="shared" si="29"/>
        <v>T</v>
      </c>
      <c r="CD18" s="17" t="str">
        <f t="shared" si="29"/>
        <v/>
      </c>
      <c r="CE18" s="17" t="str">
        <f t="shared" si="29"/>
        <v/>
      </c>
      <c r="CF18" s="17" t="str">
        <f t="shared" si="29"/>
        <v/>
      </c>
      <c r="CG18" s="17" t="str">
        <f t="shared" si="29"/>
        <v/>
      </c>
      <c r="CH18" s="17" t="str">
        <f t="shared" si="29"/>
        <v/>
      </c>
      <c r="CI18" s="17" t="str">
        <f t="shared" si="29"/>
        <v/>
      </c>
      <c r="CJ18" s="17" t="str">
        <f t="shared" si="29"/>
        <v/>
      </c>
      <c r="CK18" s="17" t="str">
        <f t="shared" si="29"/>
        <v/>
      </c>
      <c r="CL18" s="17" t="str">
        <f t="shared" si="29"/>
        <v/>
      </c>
      <c r="CM18" s="17" t="str">
        <f t="shared" si="30"/>
        <v/>
      </c>
      <c r="CN18" s="17" t="str">
        <f t="shared" si="30"/>
        <v/>
      </c>
      <c r="CO18" s="17" t="str">
        <f t="shared" si="30"/>
        <v/>
      </c>
      <c r="CP18" s="17" t="str">
        <f t="shared" si="30"/>
        <v/>
      </c>
      <c r="CQ18" s="17" t="str">
        <f t="shared" si="30"/>
        <v/>
      </c>
      <c r="CR18" s="17" t="str">
        <f t="shared" si="30"/>
        <v/>
      </c>
      <c r="CS18" s="17" t="str">
        <f t="shared" si="30"/>
        <v/>
      </c>
      <c r="CT18" s="17" t="str">
        <f t="shared" si="30"/>
        <v/>
      </c>
      <c r="CU18" s="17" t="str">
        <f t="shared" si="30"/>
        <v/>
      </c>
      <c r="CV18" s="17" t="str">
        <f t="shared" si="30"/>
        <v/>
      </c>
      <c r="CW18" s="17" t="str">
        <f t="shared" si="31"/>
        <v/>
      </c>
      <c r="CX18" s="17" t="str">
        <f t="shared" si="31"/>
        <v/>
      </c>
      <c r="CY18" s="17" t="str">
        <f t="shared" si="31"/>
        <v/>
      </c>
      <c r="CZ18" s="17" t="str">
        <f t="shared" si="31"/>
        <v/>
      </c>
      <c r="DA18" s="17" t="str">
        <f t="shared" si="31"/>
        <v/>
      </c>
      <c r="DB18" s="17" t="str">
        <f t="shared" si="31"/>
        <v/>
      </c>
      <c r="DC18" s="17" t="str">
        <f t="shared" si="31"/>
        <v/>
      </c>
      <c r="DD18" s="17" t="str">
        <f t="shared" si="31"/>
        <v/>
      </c>
      <c r="DE18" s="17" t="str">
        <f t="shared" si="31"/>
        <v/>
      </c>
      <c r="DF18" s="17" t="str">
        <f t="shared" si="31"/>
        <v/>
      </c>
      <c r="DG18" s="17" t="str">
        <f t="shared" si="32"/>
        <v/>
      </c>
      <c r="DH18" s="17" t="str">
        <f t="shared" si="32"/>
        <v/>
      </c>
      <c r="DI18" s="17" t="str">
        <f t="shared" si="32"/>
        <v/>
      </c>
      <c r="DJ18" s="17" t="str">
        <f t="shared" si="32"/>
        <v/>
      </c>
      <c r="DK18" s="17" t="str">
        <f t="shared" si="32"/>
        <v/>
      </c>
      <c r="DL18" s="17" t="str">
        <f t="shared" si="32"/>
        <v/>
      </c>
      <c r="DM18" s="17" t="str">
        <f t="shared" si="32"/>
        <v/>
      </c>
      <c r="DN18" s="17" t="str">
        <f t="shared" si="32"/>
        <v/>
      </c>
      <c r="DO18" s="17" t="str">
        <f t="shared" si="32"/>
        <v/>
      </c>
      <c r="DP18" s="17" t="str">
        <f t="shared" si="32"/>
        <v/>
      </c>
      <c r="DQ18" s="17" t="str">
        <f t="shared" si="33"/>
        <v/>
      </c>
      <c r="DR18" s="17" t="str">
        <f t="shared" si="33"/>
        <v/>
      </c>
      <c r="DS18" s="17" t="str">
        <f t="shared" si="33"/>
        <v/>
      </c>
      <c r="DT18" s="17" t="str">
        <f t="shared" si="33"/>
        <v/>
      </c>
      <c r="DU18" s="17" t="str">
        <f t="shared" si="33"/>
        <v/>
      </c>
      <c r="DV18" s="17" t="str">
        <f t="shared" si="33"/>
        <v/>
      </c>
      <c r="DW18" s="17" t="str">
        <f t="shared" si="33"/>
        <v/>
      </c>
      <c r="DX18" s="17" t="str">
        <f t="shared" si="33"/>
        <v/>
      </c>
      <c r="DY18" s="17" t="str">
        <f t="shared" si="33"/>
        <v/>
      </c>
      <c r="DZ18" s="17" t="str">
        <f t="shared" si="33"/>
        <v/>
      </c>
      <c r="EA18" s="17" t="str">
        <f t="shared" si="34"/>
        <v/>
      </c>
      <c r="EB18" s="17" t="str">
        <f t="shared" si="34"/>
        <v/>
      </c>
      <c r="EC18" s="17" t="str">
        <f t="shared" si="34"/>
        <v/>
      </c>
      <c r="ED18" s="17" t="str">
        <f t="shared" si="34"/>
        <v/>
      </c>
      <c r="EE18" s="17" t="str">
        <f t="shared" si="34"/>
        <v/>
      </c>
      <c r="EF18" s="17" t="str">
        <f t="shared" si="34"/>
        <v/>
      </c>
      <c r="EG18" s="17" t="str">
        <f t="shared" si="34"/>
        <v/>
      </c>
      <c r="EH18" s="17" t="str">
        <f t="shared" si="34"/>
        <v/>
      </c>
      <c r="EI18" s="17" t="str">
        <f t="shared" si="34"/>
        <v/>
      </c>
      <c r="EJ18" s="17" t="str">
        <f t="shared" si="34"/>
        <v/>
      </c>
      <c r="EK18" s="17" t="str">
        <f t="shared" si="35"/>
        <v/>
      </c>
      <c r="EL18" s="17" t="str">
        <f t="shared" si="35"/>
        <v/>
      </c>
      <c r="EM18" s="17" t="str">
        <f t="shared" si="35"/>
        <v/>
      </c>
      <c r="EN18" s="17" t="str">
        <f t="shared" si="35"/>
        <v/>
      </c>
      <c r="EO18" s="17" t="str">
        <f t="shared" si="35"/>
        <v/>
      </c>
      <c r="EP18" s="17" t="str">
        <f t="shared" si="35"/>
        <v/>
      </c>
      <c r="EQ18" s="17" t="str">
        <f t="shared" si="35"/>
        <v/>
      </c>
      <c r="ER18" s="17" t="str">
        <f t="shared" si="35"/>
        <v/>
      </c>
      <c r="ES18" s="17" t="str">
        <f t="shared" si="35"/>
        <v/>
      </c>
      <c r="ET18" s="17" t="str">
        <f t="shared" si="35"/>
        <v/>
      </c>
      <c r="EU18" s="17" t="str">
        <f t="shared" si="36"/>
        <v/>
      </c>
      <c r="EV18" s="17" t="str">
        <f t="shared" si="36"/>
        <v/>
      </c>
      <c r="EW18" s="17" t="str">
        <f t="shared" si="36"/>
        <v/>
      </c>
      <c r="EX18" s="17" t="str">
        <f t="shared" si="36"/>
        <v/>
      </c>
      <c r="EY18" s="17" t="str">
        <f t="shared" si="36"/>
        <v/>
      </c>
      <c r="EZ18" s="17" t="str">
        <f t="shared" si="36"/>
        <v/>
      </c>
      <c r="FA18" s="17" t="str">
        <f t="shared" si="36"/>
        <v/>
      </c>
      <c r="FB18" s="17" t="str">
        <f t="shared" si="36"/>
        <v/>
      </c>
      <c r="FC18" s="17" t="str">
        <f t="shared" si="36"/>
        <v/>
      </c>
      <c r="FD18" s="17" t="str">
        <f t="shared" si="36"/>
        <v/>
      </c>
      <c r="FE18" s="17" t="str">
        <f t="shared" si="37"/>
        <v/>
      </c>
      <c r="FF18" s="17" t="str">
        <f t="shared" si="37"/>
        <v/>
      </c>
      <c r="FG18" s="17" t="str">
        <f t="shared" si="37"/>
        <v/>
      </c>
      <c r="FH18" s="17" t="str">
        <f t="shared" si="37"/>
        <v/>
      </c>
      <c r="FI18" s="17" t="str">
        <f t="shared" si="37"/>
        <v/>
      </c>
      <c r="FJ18" s="17" t="str">
        <f t="shared" si="37"/>
        <v/>
      </c>
      <c r="FK18" s="17" t="str">
        <f t="shared" si="37"/>
        <v/>
      </c>
      <c r="FL18" s="17" t="str">
        <f t="shared" si="37"/>
        <v/>
      </c>
      <c r="FM18" s="17" t="str">
        <f t="shared" si="37"/>
        <v/>
      </c>
      <c r="FN18" s="17" t="str">
        <f t="shared" si="37"/>
        <v/>
      </c>
      <c r="FO18" s="17" t="str">
        <f t="shared" si="38"/>
        <v/>
      </c>
      <c r="FP18" s="17" t="str">
        <f t="shared" si="38"/>
        <v/>
      </c>
      <c r="FQ18" s="17" t="str">
        <f t="shared" si="38"/>
        <v/>
      </c>
      <c r="FR18" s="17" t="str">
        <f t="shared" si="38"/>
        <v/>
      </c>
      <c r="FS18" s="17" t="str">
        <f t="shared" si="38"/>
        <v/>
      </c>
      <c r="FT18" s="17" t="str">
        <f t="shared" si="38"/>
        <v/>
      </c>
      <c r="FU18" s="17" t="str">
        <f t="shared" si="38"/>
        <v/>
      </c>
      <c r="FV18" s="17" t="str">
        <f t="shared" si="38"/>
        <v/>
      </c>
      <c r="FW18" s="17" t="str">
        <f t="shared" si="38"/>
        <v/>
      </c>
      <c r="FX18" s="17" t="str">
        <f t="shared" si="38"/>
        <v/>
      </c>
      <c r="FY18" s="17" t="str">
        <f t="shared" si="39"/>
        <v/>
      </c>
      <c r="FZ18" s="17" t="str">
        <f t="shared" si="39"/>
        <v/>
      </c>
      <c r="GA18" s="17" t="str">
        <f t="shared" si="39"/>
        <v/>
      </c>
      <c r="GB18" s="17" t="str">
        <f t="shared" si="39"/>
        <v/>
      </c>
      <c r="GC18" s="17" t="str">
        <f t="shared" si="39"/>
        <v/>
      </c>
      <c r="GD18" s="17" t="str">
        <f t="shared" si="39"/>
        <v/>
      </c>
      <c r="GE18" s="17" t="str">
        <f t="shared" si="39"/>
        <v/>
      </c>
      <c r="GF18" s="17" t="str">
        <f t="shared" si="39"/>
        <v/>
      </c>
      <c r="GG18" s="17" t="str">
        <f t="shared" si="39"/>
        <v/>
      </c>
      <c r="GH18" s="17" t="str">
        <f t="shared" si="39"/>
        <v/>
      </c>
      <c r="GI18" s="17" t="str">
        <f t="shared" si="40"/>
        <v/>
      </c>
      <c r="GJ18" s="17" t="str">
        <f t="shared" si="40"/>
        <v/>
      </c>
      <c r="GK18" s="17" t="str">
        <f t="shared" si="40"/>
        <v/>
      </c>
      <c r="GL18" s="17" t="str">
        <f t="shared" si="40"/>
        <v/>
      </c>
      <c r="GM18" s="17" t="str">
        <f t="shared" si="40"/>
        <v/>
      </c>
      <c r="GN18" s="17" t="str">
        <f t="shared" si="40"/>
        <v/>
      </c>
      <c r="GO18" s="17" t="str">
        <f t="shared" si="40"/>
        <v/>
      </c>
      <c r="GP18" s="17" t="str">
        <f t="shared" si="40"/>
        <v/>
      </c>
      <c r="GQ18" s="17" t="str">
        <f t="shared" si="40"/>
        <v/>
      </c>
      <c r="GR18" s="17" t="str">
        <f t="shared" si="40"/>
        <v/>
      </c>
      <c r="GS18" s="17" t="str">
        <f t="shared" si="41"/>
        <v/>
      </c>
      <c r="GT18" s="17" t="str">
        <f t="shared" si="41"/>
        <v/>
      </c>
      <c r="GU18" s="17" t="str">
        <f t="shared" si="41"/>
        <v/>
      </c>
      <c r="GV18" s="17" t="str">
        <f t="shared" si="41"/>
        <v/>
      </c>
      <c r="GW18" s="17" t="str">
        <f t="shared" si="41"/>
        <v/>
      </c>
      <c r="GX18" s="17" t="str">
        <f t="shared" si="41"/>
        <v/>
      </c>
      <c r="GY18" s="17" t="str">
        <f t="shared" si="41"/>
        <v/>
      </c>
      <c r="GZ18" s="17" t="str">
        <f t="shared" si="41"/>
        <v/>
      </c>
      <c r="HA18" s="17" t="str">
        <f t="shared" si="41"/>
        <v/>
      </c>
      <c r="HB18" s="17" t="str">
        <f t="shared" si="41"/>
        <v/>
      </c>
      <c r="HC18" s="17" t="str">
        <f t="shared" si="42"/>
        <v/>
      </c>
      <c r="HD18" s="17" t="str">
        <f t="shared" si="42"/>
        <v/>
      </c>
      <c r="HE18" s="17" t="str">
        <f t="shared" si="42"/>
        <v/>
      </c>
      <c r="HF18" s="17" t="str">
        <f t="shared" si="42"/>
        <v/>
      </c>
      <c r="HG18" s="17" t="str">
        <f t="shared" si="42"/>
        <v/>
      </c>
      <c r="HH18" s="17" t="str">
        <f t="shared" si="42"/>
        <v/>
      </c>
      <c r="HI18" s="17" t="str">
        <f t="shared" si="42"/>
        <v/>
      </c>
      <c r="HJ18" s="17" t="str">
        <f t="shared" si="42"/>
        <v/>
      </c>
      <c r="HK18" s="17" t="str">
        <f t="shared" si="42"/>
        <v/>
      </c>
      <c r="HL18" s="17" t="str">
        <f t="shared" si="42"/>
        <v/>
      </c>
      <c r="HM18" s="17" t="str">
        <f t="shared" si="43"/>
        <v/>
      </c>
      <c r="HN18" s="17" t="str">
        <f t="shared" si="43"/>
        <v/>
      </c>
      <c r="HO18" s="17" t="str">
        <f t="shared" si="43"/>
        <v/>
      </c>
      <c r="HP18" s="17" t="str">
        <f t="shared" si="43"/>
        <v/>
      </c>
      <c r="HQ18" s="17" t="str">
        <f t="shared" si="43"/>
        <v/>
      </c>
      <c r="HR18" s="17" t="str">
        <f t="shared" si="43"/>
        <v/>
      </c>
      <c r="HS18" s="17" t="str">
        <f t="shared" si="43"/>
        <v/>
      </c>
      <c r="HT18" s="17" t="str">
        <f t="shared" si="43"/>
        <v/>
      </c>
      <c r="HU18" s="17" t="str">
        <f t="shared" si="43"/>
        <v/>
      </c>
      <c r="HV18" s="17" t="str">
        <f t="shared" si="43"/>
        <v/>
      </c>
      <c r="HW18" s="17" t="str">
        <f t="shared" si="43"/>
        <v/>
      </c>
      <c r="HX18" s="17" t="str">
        <f t="shared" si="43"/>
        <v/>
      </c>
      <c r="HY18" s="17" t="str">
        <f t="shared" si="43"/>
        <v/>
      </c>
      <c r="HZ18" s="17" t="str">
        <f t="shared" si="43"/>
        <v/>
      </c>
      <c r="IA18" s="17" t="str">
        <f t="shared" si="43"/>
        <v/>
      </c>
    </row>
    <row r="19" spans="1:235" ht="25.95" customHeight="1" x14ac:dyDescent="0.3">
      <c r="A19" s="7">
        <v>14</v>
      </c>
      <c r="B19" s="7">
        <f>Premissas!$B$6</f>
        <v>6</v>
      </c>
      <c r="C19" s="7">
        <f>13*Premissas!$B$8</f>
        <v>157.57575757575759</v>
      </c>
      <c r="D19" s="7">
        <f>C19+Premissas!$B$9</f>
        <v>205.57575757575759</v>
      </c>
      <c r="E19" s="7">
        <f>C19+Premissas!$B$11</f>
        <v>211.57575757575759</v>
      </c>
      <c r="F19" s="7">
        <f>E19+Premissas!$B$8</f>
        <v>223.69696969696972</v>
      </c>
      <c r="G19" s="7">
        <f>Premissas!$B$11</f>
        <v>54</v>
      </c>
      <c r="H19" s="7">
        <f>Premissas!$B$12</f>
        <v>3</v>
      </c>
      <c r="I19" s="7" t="s">
        <v>47</v>
      </c>
      <c r="J19" s="8" t="s">
        <v>48</v>
      </c>
      <c r="K19" s="17" t="str">
        <f t="shared" si="22"/>
        <v/>
      </c>
      <c r="L19" s="17" t="str">
        <f t="shared" si="22"/>
        <v/>
      </c>
      <c r="M19" s="17" t="str">
        <f t="shared" si="22"/>
        <v/>
      </c>
      <c r="N19" s="17" t="str">
        <f t="shared" si="22"/>
        <v/>
      </c>
      <c r="O19" s="17" t="str">
        <f t="shared" si="22"/>
        <v/>
      </c>
      <c r="P19" s="17" t="str">
        <f t="shared" si="22"/>
        <v/>
      </c>
      <c r="Q19" s="17" t="str">
        <f t="shared" si="22"/>
        <v/>
      </c>
      <c r="R19" s="17" t="str">
        <f t="shared" si="22"/>
        <v/>
      </c>
      <c r="S19" s="17" t="str">
        <f t="shared" si="22"/>
        <v/>
      </c>
      <c r="T19" s="17" t="str">
        <f t="shared" si="22"/>
        <v/>
      </c>
      <c r="U19" s="17" t="str">
        <f t="shared" si="23"/>
        <v/>
      </c>
      <c r="V19" s="17" t="str">
        <f t="shared" si="23"/>
        <v/>
      </c>
      <c r="W19" s="17" t="str">
        <f t="shared" si="23"/>
        <v/>
      </c>
      <c r="X19" s="17" t="str">
        <f t="shared" si="23"/>
        <v/>
      </c>
      <c r="Y19" s="17" t="str">
        <f t="shared" si="23"/>
        <v/>
      </c>
      <c r="Z19" s="17" t="str">
        <f t="shared" si="23"/>
        <v/>
      </c>
      <c r="AA19" s="17" t="str">
        <f t="shared" si="23"/>
        <v/>
      </c>
      <c r="AB19" s="17" t="str">
        <f t="shared" si="23"/>
        <v/>
      </c>
      <c r="AC19" s="17" t="str">
        <f t="shared" si="23"/>
        <v/>
      </c>
      <c r="AD19" s="17" t="str">
        <f t="shared" si="23"/>
        <v/>
      </c>
      <c r="AE19" s="17" t="str">
        <f t="shared" si="24"/>
        <v/>
      </c>
      <c r="AF19" s="17" t="str">
        <f t="shared" si="24"/>
        <v/>
      </c>
      <c r="AG19" s="17" t="str">
        <f t="shared" si="24"/>
        <v/>
      </c>
      <c r="AH19" s="17" t="str">
        <f t="shared" si="24"/>
        <v/>
      </c>
      <c r="AI19" s="17" t="str">
        <f t="shared" si="24"/>
        <v/>
      </c>
      <c r="AJ19" s="17" t="str">
        <f t="shared" si="24"/>
        <v/>
      </c>
      <c r="AK19" s="17" t="str">
        <f t="shared" si="24"/>
        <v/>
      </c>
      <c r="AL19" s="17" t="str">
        <f t="shared" si="24"/>
        <v/>
      </c>
      <c r="AM19" s="17" t="str">
        <f t="shared" si="24"/>
        <v/>
      </c>
      <c r="AN19" s="17" t="str">
        <f t="shared" si="24"/>
        <v/>
      </c>
      <c r="AO19" s="17" t="str">
        <f t="shared" si="25"/>
        <v/>
      </c>
      <c r="AP19" s="17" t="str">
        <f t="shared" si="25"/>
        <v/>
      </c>
      <c r="AQ19" s="17" t="str">
        <f t="shared" si="25"/>
        <v/>
      </c>
      <c r="AR19" s="17" t="str">
        <f t="shared" si="25"/>
        <v/>
      </c>
      <c r="AS19" s="17" t="str">
        <f t="shared" si="25"/>
        <v/>
      </c>
      <c r="AT19" s="17" t="str">
        <f t="shared" si="25"/>
        <v/>
      </c>
      <c r="AU19" s="17" t="str">
        <f t="shared" si="25"/>
        <v/>
      </c>
      <c r="AV19" s="17" t="str">
        <f t="shared" si="25"/>
        <v/>
      </c>
      <c r="AW19" s="17" t="str">
        <f t="shared" si="25"/>
        <v/>
      </c>
      <c r="AX19" s="17" t="str">
        <f t="shared" si="25"/>
        <v/>
      </c>
      <c r="AY19" s="17" t="str">
        <f t="shared" si="26"/>
        <v/>
      </c>
      <c r="AZ19" s="17" t="str">
        <f t="shared" si="26"/>
        <v/>
      </c>
      <c r="BA19" s="17" t="str">
        <f t="shared" si="26"/>
        <v/>
      </c>
      <c r="BB19" s="17" t="str">
        <f t="shared" si="26"/>
        <v/>
      </c>
      <c r="BC19" s="17" t="str">
        <f t="shared" si="26"/>
        <v/>
      </c>
      <c r="BD19" s="17" t="str">
        <f t="shared" si="26"/>
        <v/>
      </c>
      <c r="BE19" s="17" t="str">
        <f t="shared" si="26"/>
        <v/>
      </c>
      <c r="BF19" s="17" t="str">
        <f t="shared" si="26"/>
        <v/>
      </c>
      <c r="BG19" s="17" t="str">
        <f t="shared" si="26"/>
        <v/>
      </c>
      <c r="BH19" s="17" t="str">
        <f t="shared" si="26"/>
        <v/>
      </c>
      <c r="BI19" s="17" t="str">
        <f t="shared" si="27"/>
        <v/>
      </c>
      <c r="BJ19" s="17" t="str">
        <f t="shared" si="27"/>
        <v/>
      </c>
      <c r="BK19" s="17" t="str">
        <f t="shared" si="27"/>
        <v/>
      </c>
      <c r="BL19" s="17" t="str">
        <f t="shared" si="27"/>
        <v>R</v>
      </c>
      <c r="BM19" s="17" t="str">
        <f t="shared" si="27"/>
        <v>R</v>
      </c>
      <c r="BN19" s="17" t="str">
        <f t="shared" si="27"/>
        <v>R</v>
      </c>
      <c r="BO19" s="17" t="str">
        <f t="shared" si="27"/>
        <v>R</v>
      </c>
      <c r="BP19" s="17" t="str">
        <f t="shared" si="27"/>
        <v>R</v>
      </c>
      <c r="BQ19" s="17" t="str">
        <f t="shared" si="27"/>
        <v>R</v>
      </c>
      <c r="BR19" s="17" t="str">
        <f t="shared" si="27"/>
        <v>R</v>
      </c>
      <c r="BS19" s="17" t="str">
        <f t="shared" si="28"/>
        <v>R</v>
      </c>
      <c r="BT19" s="17" t="str">
        <f t="shared" si="28"/>
        <v>R</v>
      </c>
      <c r="BU19" s="17" t="str">
        <f t="shared" si="28"/>
        <v>R</v>
      </c>
      <c r="BV19" s="17" t="str">
        <f t="shared" si="28"/>
        <v>R</v>
      </c>
      <c r="BW19" s="17" t="str">
        <f t="shared" si="28"/>
        <v>R</v>
      </c>
      <c r="BX19" s="17" t="str">
        <f t="shared" si="28"/>
        <v>R</v>
      </c>
      <c r="BY19" s="17" t="str">
        <f t="shared" si="28"/>
        <v>R</v>
      </c>
      <c r="BZ19" s="17" t="str">
        <f t="shared" si="28"/>
        <v>R</v>
      </c>
      <c r="CA19" s="17" t="str">
        <f t="shared" si="28"/>
        <v>R</v>
      </c>
      <c r="CB19" s="17" t="str">
        <f t="shared" si="28"/>
        <v>P</v>
      </c>
      <c r="CC19" s="17" t="str">
        <f t="shared" si="29"/>
        <v>P</v>
      </c>
      <c r="CD19" s="17" t="str">
        <f t="shared" si="29"/>
        <v>T</v>
      </c>
      <c r="CE19" s="17" t="str">
        <f t="shared" si="29"/>
        <v>T</v>
      </c>
      <c r="CF19" s="17" t="str">
        <f t="shared" si="29"/>
        <v>T</v>
      </c>
      <c r="CG19" s="17" t="str">
        <f t="shared" si="29"/>
        <v>T</v>
      </c>
      <c r="CH19" s="17" t="str">
        <f t="shared" si="29"/>
        <v/>
      </c>
      <c r="CI19" s="17" t="str">
        <f t="shared" si="29"/>
        <v/>
      </c>
      <c r="CJ19" s="17" t="str">
        <f t="shared" si="29"/>
        <v/>
      </c>
      <c r="CK19" s="17" t="str">
        <f t="shared" si="29"/>
        <v/>
      </c>
      <c r="CL19" s="17" t="str">
        <f t="shared" si="29"/>
        <v/>
      </c>
      <c r="CM19" s="17" t="str">
        <f t="shared" si="30"/>
        <v/>
      </c>
      <c r="CN19" s="17" t="str">
        <f t="shared" si="30"/>
        <v/>
      </c>
      <c r="CO19" s="17" t="str">
        <f t="shared" si="30"/>
        <v/>
      </c>
      <c r="CP19" s="17" t="str">
        <f t="shared" si="30"/>
        <v/>
      </c>
      <c r="CQ19" s="17" t="str">
        <f t="shared" si="30"/>
        <v/>
      </c>
      <c r="CR19" s="17" t="str">
        <f t="shared" si="30"/>
        <v/>
      </c>
      <c r="CS19" s="17" t="str">
        <f t="shared" si="30"/>
        <v/>
      </c>
      <c r="CT19" s="17" t="str">
        <f t="shared" si="30"/>
        <v/>
      </c>
      <c r="CU19" s="17" t="str">
        <f t="shared" si="30"/>
        <v/>
      </c>
      <c r="CV19" s="17" t="str">
        <f t="shared" si="30"/>
        <v/>
      </c>
      <c r="CW19" s="17" t="str">
        <f t="shared" si="31"/>
        <v/>
      </c>
      <c r="CX19" s="17" t="str">
        <f t="shared" si="31"/>
        <v/>
      </c>
      <c r="CY19" s="17" t="str">
        <f t="shared" si="31"/>
        <v/>
      </c>
      <c r="CZ19" s="17" t="str">
        <f t="shared" si="31"/>
        <v/>
      </c>
      <c r="DA19" s="17" t="str">
        <f t="shared" si="31"/>
        <v/>
      </c>
      <c r="DB19" s="17" t="str">
        <f t="shared" si="31"/>
        <v/>
      </c>
      <c r="DC19" s="17" t="str">
        <f t="shared" si="31"/>
        <v/>
      </c>
      <c r="DD19" s="17" t="str">
        <f t="shared" si="31"/>
        <v/>
      </c>
      <c r="DE19" s="17" t="str">
        <f t="shared" si="31"/>
        <v/>
      </c>
      <c r="DF19" s="17" t="str">
        <f t="shared" si="31"/>
        <v/>
      </c>
      <c r="DG19" s="17" t="str">
        <f t="shared" si="32"/>
        <v/>
      </c>
      <c r="DH19" s="17" t="str">
        <f t="shared" si="32"/>
        <v/>
      </c>
      <c r="DI19" s="17" t="str">
        <f t="shared" si="32"/>
        <v/>
      </c>
      <c r="DJ19" s="17" t="str">
        <f t="shared" si="32"/>
        <v/>
      </c>
      <c r="DK19" s="17" t="str">
        <f t="shared" si="32"/>
        <v/>
      </c>
      <c r="DL19" s="17" t="str">
        <f t="shared" si="32"/>
        <v/>
      </c>
      <c r="DM19" s="17" t="str">
        <f t="shared" si="32"/>
        <v/>
      </c>
      <c r="DN19" s="17" t="str">
        <f t="shared" si="32"/>
        <v/>
      </c>
      <c r="DO19" s="17" t="str">
        <f t="shared" si="32"/>
        <v/>
      </c>
      <c r="DP19" s="17" t="str">
        <f t="shared" si="32"/>
        <v/>
      </c>
      <c r="DQ19" s="17" t="str">
        <f t="shared" si="33"/>
        <v/>
      </c>
      <c r="DR19" s="17" t="str">
        <f t="shared" si="33"/>
        <v/>
      </c>
      <c r="DS19" s="17" t="str">
        <f t="shared" si="33"/>
        <v/>
      </c>
      <c r="DT19" s="17" t="str">
        <f t="shared" si="33"/>
        <v/>
      </c>
      <c r="DU19" s="17" t="str">
        <f t="shared" si="33"/>
        <v/>
      </c>
      <c r="DV19" s="17" t="str">
        <f t="shared" si="33"/>
        <v/>
      </c>
      <c r="DW19" s="17" t="str">
        <f t="shared" si="33"/>
        <v/>
      </c>
      <c r="DX19" s="17" t="str">
        <f t="shared" si="33"/>
        <v/>
      </c>
      <c r="DY19" s="17" t="str">
        <f t="shared" si="33"/>
        <v/>
      </c>
      <c r="DZ19" s="17" t="str">
        <f t="shared" si="33"/>
        <v/>
      </c>
      <c r="EA19" s="17" t="str">
        <f t="shared" si="34"/>
        <v/>
      </c>
      <c r="EB19" s="17" t="str">
        <f t="shared" si="34"/>
        <v/>
      </c>
      <c r="EC19" s="17" t="str">
        <f t="shared" si="34"/>
        <v/>
      </c>
      <c r="ED19" s="17" t="str">
        <f t="shared" si="34"/>
        <v/>
      </c>
      <c r="EE19" s="17" t="str">
        <f t="shared" si="34"/>
        <v/>
      </c>
      <c r="EF19" s="17" t="str">
        <f t="shared" si="34"/>
        <v/>
      </c>
      <c r="EG19" s="17" t="str">
        <f t="shared" si="34"/>
        <v/>
      </c>
      <c r="EH19" s="17" t="str">
        <f t="shared" si="34"/>
        <v/>
      </c>
      <c r="EI19" s="17" t="str">
        <f t="shared" si="34"/>
        <v/>
      </c>
      <c r="EJ19" s="17" t="str">
        <f t="shared" si="34"/>
        <v/>
      </c>
      <c r="EK19" s="17" t="str">
        <f t="shared" si="35"/>
        <v/>
      </c>
      <c r="EL19" s="17" t="str">
        <f t="shared" si="35"/>
        <v/>
      </c>
      <c r="EM19" s="17" t="str">
        <f t="shared" si="35"/>
        <v/>
      </c>
      <c r="EN19" s="17" t="str">
        <f t="shared" si="35"/>
        <v/>
      </c>
      <c r="EO19" s="17" t="str">
        <f t="shared" si="35"/>
        <v/>
      </c>
      <c r="EP19" s="17" t="str">
        <f t="shared" si="35"/>
        <v/>
      </c>
      <c r="EQ19" s="17" t="str">
        <f t="shared" si="35"/>
        <v/>
      </c>
      <c r="ER19" s="17" t="str">
        <f t="shared" si="35"/>
        <v/>
      </c>
      <c r="ES19" s="17" t="str">
        <f t="shared" si="35"/>
        <v/>
      </c>
      <c r="ET19" s="17" t="str">
        <f t="shared" si="35"/>
        <v/>
      </c>
      <c r="EU19" s="17" t="str">
        <f t="shared" si="36"/>
        <v/>
      </c>
      <c r="EV19" s="17" t="str">
        <f t="shared" si="36"/>
        <v/>
      </c>
      <c r="EW19" s="17" t="str">
        <f t="shared" si="36"/>
        <v/>
      </c>
      <c r="EX19" s="17" t="str">
        <f t="shared" si="36"/>
        <v/>
      </c>
      <c r="EY19" s="17" t="str">
        <f t="shared" si="36"/>
        <v/>
      </c>
      <c r="EZ19" s="17" t="str">
        <f t="shared" si="36"/>
        <v/>
      </c>
      <c r="FA19" s="17" t="str">
        <f t="shared" si="36"/>
        <v/>
      </c>
      <c r="FB19" s="17" t="str">
        <f t="shared" si="36"/>
        <v/>
      </c>
      <c r="FC19" s="17" t="str">
        <f t="shared" si="36"/>
        <v/>
      </c>
      <c r="FD19" s="17" t="str">
        <f t="shared" si="36"/>
        <v/>
      </c>
      <c r="FE19" s="17" t="str">
        <f t="shared" si="37"/>
        <v/>
      </c>
      <c r="FF19" s="17" t="str">
        <f t="shared" si="37"/>
        <v/>
      </c>
      <c r="FG19" s="17" t="str">
        <f t="shared" si="37"/>
        <v/>
      </c>
      <c r="FH19" s="17" t="str">
        <f t="shared" si="37"/>
        <v/>
      </c>
      <c r="FI19" s="17" t="str">
        <f t="shared" si="37"/>
        <v/>
      </c>
      <c r="FJ19" s="17" t="str">
        <f t="shared" si="37"/>
        <v/>
      </c>
      <c r="FK19" s="17" t="str">
        <f t="shared" si="37"/>
        <v/>
      </c>
      <c r="FL19" s="17" t="str">
        <f t="shared" si="37"/>
        <v/>
      </c>
      <c r="FM19" s="17" t="str">
        <f t="shared" si="37"/>
        <v/>
      </c>
      <c r="FN19" s="17" t="str">
        <f t="shared" si="37"/>
        <v/>
      </c>
      <c r="FO19" s="17" t="str">
        <f t="shared" si="38"/>
        <v/>
      </c>
      <c r="FP19" s="17" t="str">
        <f t="shared" si="38"/>
        <v/>
      </c>
      <c r="FQ19" s="17" t="str">
        <f t="shared" si="38"/>
        <v/>
      </c>
      <c r="FR19" s="17" t="str">
        <f t="shared" si="38"/>
        <v/>
      </c>
      <c r="FS19" s="17" t="str">
        <f t="shared" si="38"/>
        <v/>
      </c>
      <c r="FT19" s="17" t="str">
        <f t="shared" si="38"/>
        <v/>
      </c>
      <c r="FU19" s="17" t="str">
        <f t="shared" si="38"/>
        <v/>
      </c>
      <c r="FV19" s="17" t="str">
        <f t="shared" si="38"/>
        <v/>
      </c>
      <c r="FW19" s="17" t="str">
        <f t="shared" si="38"/>
        <v/>
      </c>
      <c r="FX19" s="17" t="str">
        <f t="shared" si="38"/>
        <v/>
      </c>
      <c r="FY19" s="17" t="str">
        <f t="shared" si="39"/>
        <v/>
      </c>
      <c r="FZ19" s="17" t="str">
        <f t="shared" si="39"/>
        <v/>
      </c>
      <c r="GA19" s="17" t="str">
        <f t="shared" si="39"/>
        <v/>
      </c>
      <c r="GB19" s="17" t="str">
        <f t="shared" si="39"/>
        <v/>
      </c>
      <c r="GC19" s="17" t="str">
        <f t="shared" si="39"/>
        <v/>
      </c>
      <c r="GD19" s="17" t="str">
        <f t="shared" si="39"/>
        <v/>
      </c>
      <c r="GE19" s="17" t="str">
        <f t="shared" si="39"/>
        <v/>
      </c>
      <c r="GF19" s="17" t="str">
        <f t="shared" si="39"/>
        <v/>
      </c>
      <c r="GG19" s="17" t="str">
        <f t="shared" si="39"/>
        <v/>
      </c>
      <c r="GH19" s="17" t="str">
        <f t="shared" si="39"/>
        <v/>
      </c>
      <c r="GI19" s="17" t="str">
        <f t="shared" si="40"/>
        <v/>
      </c>
      <c r="GJ19" s="17" t="str">
        <f t="shared" si="40"/>
        <v/>
      </c>
      <c r="GK19" s="17" t="str">
        <f t="shared" si="40"/>
        <v/>
      </c>
      <c r="GL19" s="17" t="str">
        <f t="shared" si="40"/>
        <v/>
      </c>
      <c r="GM19" s="17" t="str">
        <f t="shared" si="40"/>
        <v/>
      </c>
      <c r="GN19" s="17" t="str">
        <f t="shared" si="40"/>
        <v/>
      </c>
      <c r="GO19" s="17" t="str">
        <f t="shared" si="40"/>
        <v/>
      </c>
      <c r="GP19" s="17" t="str">
        <f t="shared" si="40"/>
        <v/>
      </c>
      <c r="GQ19" s="17" t="str">
        <f t="shared" si="40"/>
        <v/>
      </c>
      <c r="GR19" s="17" t="str">
        <f t="shared" si="40"/>
        <v/>
      </c>
      <c r="GS19" s="17" t="str">
        <f t="shared" si="41"/>
        <v/>
      </c>
      <c r="GT19" s="17" t="str">
        <f t="shared" si="41"/>
        <v/>
      </c>
      <c r="GU19" s="17" t="str">
        <f t="shared" si="41"/>
        <v/>
      </c>
      <c r="GV19" s="17" t="str">
        <f t="shared" si="41"/>
        <v/>
      </c>
      <c r="GW19" s="17" t="str">
        <f t="shared" si="41"/>
        <v/>
      </c>
      <c r="GX19" s="17" t="str">
        <f t="shared" si="41"/>
        <v/>
      </c>
      <c r="GY19" s="17" t="str">
        <f t="shared" si="41"/>
        <v/>
      </c>
      <c r="GZ19" s="17" t="str">
        <f t="shared" si="41"/>
        <v/>
      </c>
      <c r="HA19" s="17" t="str">
        <f t="shared" si="41"/>
        <v/>
      </c>
      <c r="HB19" s="17" t="str">
        <f t="shared" si="41"/>
        <v/>
      </c>
      <c r="HC19" s="17" t="str">
        <f t="shared" si="42"/>
        <v/>
      </c>
      <c r="HD19" s="17" t="str">
        <f t="shared" si="42"/>
        <v/>
      </c>
      <c r="HE19" s="17" t="str">
        <f t="shared" si="42"/>
        <v/>
      </c>
      <c r="HF19" s="17" t="str">
        <f t="shared" si="42"/>
        <v/>
      </c>
      <c r="HG19" s="17" t="str">
        <f t="shared" si="42"/>
        <v/>
      </c>
      <c r="HH19" s="17" t="str">
        <f t="shared" si="42"/>
        <v/>
      </c>
      <c r="HI19" s="17" t="str">
        <f t="shared" si="42"/>
        <v/>
      </c>
      <c r="HJ19" s="17" t="str">
        <f t="shared" si="42"/>
        <v/>
      </c>
      <c r="HK19" s="17" t="str">
        <f t="shared" si="42"/>
        <v/>
      </c>
      <c r="HL19" s="17" t="str">
        <f t="shared" si="42"/>
        <v/>
      </c>
      <c r="HM19" s="17" t="str">
        <f t="shared" si="43"/>
        <v/>
      </c>
      <c r="HN19" s="17" t="str">
        <f t="shared" si="43"/>
        <v/>
      </c>
      <c r="HO19" s="17" t="str">
        <f t="shared" si="43"/>
        <v/>
      </c>
      <c r="HP19" s="17" t="str">
        <f t="shared" si="43"/>
        <v/>
      </c>
      <c r="HQ19" s="17" t="str">
        <f t="shared" si="43"/>
        <v/>
      </c>
      <c r="HR19" s="17" t="str">
        <f t="shared" si="43"/>
        <v/>
      </c>
      <c r="HS19" s="17" t="str">
        <f t="shared" si="43"/>
        <v/>
      </c>
      <c r="HT19" s="17" t="str">
        <f t="shared" si="43"/>
        <v/>
      </c>
      <c r="HU19" s="17" t="str">
        <f t="shared" si="43"/>
        <v/>
      </c>
      <c r="HV19" s="17" t="str">
        <f t="shared" si="43"/>
        <v/>
      </c>
      <c r="HW19" s="17" t="str">
        <f t="shared" si="43"/>
        <v/>
      </c>
      <c r="HX19" s="17" t="str">
        <f t="shared" si="43"/>
        <v/>
      </c>
      <c r="HY19" s="17" t="str">
        <f t="shared" si="43"/>
        <v/>
      </c>
      <c r="HZ19" s="17" t="str">
        <f t="shared" si="43"/>
        <v/>
      </c>
      <c r="IA19" s="17" t="str">
        <f t="shared" si="43"/>
        <v/>
      </c>
    </row>
    <row r="20" spans="1:235" ht="25.95" customHeight="1" x14ac:dyDescent="0.3">
      <c r="A20" s="7">
        <v>15</v>
      </c>
      <c r="B20" s="7">
        <f>Premissas!$B$6</f>
        <v>6</v>
      </c>
      <c r="C20" s="7">
        <f>14*Premissas!$B$8</f>
        <v>169.69696969696972</v>
      </c>
      <c r="D20" s="7">
        <f>C20+Premissas!$B$9</f>
        <v>217.69696969696972</v>
      </c>
      <c r="E20" s="7">
        <f>C20+Premissas!$B$11</f>
        <v>223.69696969696972</v>
      </c>
      <c r="F20" s="7">
        <f>E20+Premissas!$B$8</f>
        <v>235.81818181818184</v>
      </c>
      <c r="G20" s="7">
        <f>Premissas!$B$11</f>
        <v>54</v>
      </c>
      <c r="H20" s="7">
        <f>Premissas!$B$12</f>
        <v>3</v>
      </c>
      <c r="I20" s="7" t="s">
        <v>47</v>
      </c>
      <c r="J20" s="8" t="s">
        <v>48</v>
      </c>
      <c r="K20" s="17" t="str">
        <f t="shared" si="22"/>
        <v/>
      </c>
      <c r="L20" s="17" t="str">
        <f t="shared" si="22"/>
        <v/>
      </c>
      <c r="M20" s="17" t="str">
        <f t="shared" si="22"/>
        <v/>
      </c>
      <c r="N20" s="17" t="str">
        <f t="shared" si="22"/>
        <v/>
      </c>
      <c r="O20" s="17" t="str">
        <f t="shared" si="22"/>
        <v/>
      </c>
      <c r="P20" s="17" t="str">
        <f t="shared" si="22"/>
        <v/>
      </c>
      <c r="Q20" s="17" t="str">
        <f t="shared" si="22"/>
        <v/>
      </c>
      <c r="R20" s="17" t="str">
        <f t="shared" si="22"/>
        <v/>
      </c>
      <c r="S20" s="17" t="str">
        <f t="shared" si="22"/>
        <v/>
      </c>
      <c r="T20" s="17" t="str">
        <f t="shared" si="22"/>
        <v/>
      </c>
      <c r="U20" s="17" t="str">
        <f t="shared" si="23"/>
        <v/>
      </c>
      <c r="V20" s="17" t="str">
        <f t="shared" si="23"/>
        <v/>
      </c>
      <c r="W20" s="17" t="str">
        <f t="shared" si="23"/>
        <v/>
      </c>
      <c r="X20" s="17" t="str">
        <f t="shared" si="23"/>
        <v/>
      </c>
      <c r="Y20" s="17" t="str">
        <f t="shared" si="23"/>
        <v/>
      </c>
      <c r="Z20" s="17" t="str">
        <f t="shared" si="23"/>
        <v/>
      </c>
      <c r="AA20" s="17" t="str">
        <f t="shared" si="23"/>
        <v/>
      </c>
      <c r="AB20" s="17" t="str">
        <f t="shared" si="23"/>
        <v/>
      </c>
      <c r="AC20" s="17" t="str">
        <f t="shared" si="23"/>
        <v/>
      </c>
      <c r="AD20" s="17" t="str">
        <f t="shared" si="23"/>
        <v/>
      </c>
      <c r="AE20" s="17" t="str">
        <f t="shared" si="24"/>
        <v/>
      </c>
      <c r="AF20" s="17" t="str">
        <f t="shared" si="24"/>
        <v/>
      </c>
      <c r="AG20" s="17" t="str">
        <f t="shared" si="24"/>
        <v/>
      </c>
      <c r="AH20" s="17" t="str">
        <f t="shared" si="24"/>
        <v/>
      </c>
      <c r="AI20" s="17" t="str">
        <f t="shared" si="24"/>
        <v/>
      </c>
      <c r="AJ20" s="17" t="str">
        <f t="shared" si="24"/>
        <v/>
      </c>
      <c r="AK20" s="17" t="str">
        <f t="shared" si="24"/>
        <v/>
      </c>
      <c r="AL20" s="17" t="str">
        <f t="shared" si="24"/>
        <v/>
      </c>
      <c r="AM20" s="17" t="str">
        <f t="shared" si="24"/>
        <v/>
      </c>
      <c r="AN20" s="17" t="str">
        <f t="shared" si="24"/>
        <v/>
      </c>
      <c r="AO20" s="17" t="str">
        <f t="shared" si="25"/>
        <v/>
      </c>
      <c r="AP20" s="17" t="str">
        <f t="shared" si="25"/>
        <v/>
      </c>
      <c r="AQ20" s="17" t="str">
        <f t="shared" si="25"/>
        <v/>
      </c>
      <c r="AR20" s="17" t="str">
        <f t="shared" si="25"/>
        <v/>
      </c>
      <c r="AS20" s="17" t="str">
        <f t="shared" si="25"/>
        <v/>
      </c>
      <c r="AT20" s="17" t="str">
        <f t="shared" si="25"/>
        <v/>
      </c>
      <c r="AU20" s="17" t="str">
        <f t="shared" si="25"/>
        <v/>
      </c>
      <c r="AV20" s="17" t="str">
        <f t="shared" si="25"/>
        <v/>
      </c>
      <c r="AW20" s="17" t="str">
        <f t="shared" si="25"/>
        <v/>
      </c>
      <c r="AX20" s="17" t="str">
        <f t="shared" si="25"/>
        <v/>
      </c>
      <c r="AY20" s="17" t="str">
        <f t="shared" si="26"/>
        <v/>
      </c>
      <c r="AZ20" s="17" t="str">
        <f t="shared" si="26"/>
        <v/>
      </c>
      <c r="BA20" s="17" t="str">
        <f t="shared" si="26"/>
        <v/>
      </c>
      <c r="BB20" s="17" t="str">
        <f t="shared" si="26"/>
        <v/>
      </c>
      <c r="BC20" s="17" t="str">
        <f t="shared" si="26"/>
        <v/>
      </c>
      <c r="BD20" s="17" t="str">
        <f t="shared" si="26"/>
        <v/>
      </c>
      <c r="BE20" s="17" t="str">
        <f t="shared" si="26"/>
        <v/>
      </c>
      <c r="BF20" s="17" t="str">
        <f t="shared" si="26"/>
        <v/>
      </c>
      <c r="BG20" s="17" t="str">
        <f t="shared" si="26"/>
        <v/>
      </c>
      <c r="BH20" s="17" t="str">
        <f t="shared" si="26"/>
        <v/>
      </c>
      <c r="BI20" s="17" t="str">
        <f t="shared" si="27"/>
        <v/>
      </c>
      <c r="BJ20" s="17" t="str">
        <f t="shared" si="27"/>
        <v/>
      </c>
      <c r="BK20" s="17" t="str">
        <f t="shared" si="27"/>
        <v/>
      </c>
      <c r="BL20" s="17" t="str">
        <f t="shared" si="27"/>
        <v/>
      </c>
      <c r="BM20" s="17" t="str">
        <f t="shared" si="27"/>
        <v/>
      </c>
      <c r="BN20" s="17" t="str">
        <f t="shared" si="27"/>
        <v/>
      </c>
      <c r="BO20" s="17" t="str">
        <f t="shared" si="27"/>
        <v/>
      </c>
      <c r="BP20" s="17" t="str">
        <f t="shared" si="27"/>
        <v>R</v>
      </c>
      <c r="BQ20" s="17" t="str">
        <f t="shared" si="27"/>
        <v>R</v>
      </c>
      <c r="BR20" s="17" t="str">
        <f t="shared" si="27"/>
        <v>R</v>
      </c>
      <c r="BS20" s="17" t="str">
        <f t="shared" si="28"/>
        <v>R</v>
      </c>
      <c r="BT20" s="17" t="str">
        <f t="shared" si="28"/>
        <v>R</v>
      </c>
      <c r="BU20" s="17" t="str">
        <f t="shared" si="28"/>
        <v>R</v>
      </c>
      <c r="BV20" s="17" t="str">
        <f t="shared" si="28"/>
        <v>R</v>
      </c>
      <c r="BW20" s="17" t="str">
        <f t="shared" si="28"/>
        <v>R</v>
      </c>
      <c r="BX20" s="17" t="str">
        <f t="shared" si="28"/>
        <v>R</v>
      </c>
      <c r="BY20" s="17" t="str">
        <f t="shared" si="28"/>
        <v>R</v>
      </c>
      <c r="BZ20" s="17" t="str">
        <f t="shared" si="28"/>
        <v>R</v>
      </c>
      <c r="CA20" s="17" t="str">
        <f t="shared" si="28"/>
        <v>R</v>
      </c>
      <c r="CB20" s="17" t="str">
        <f t="shared" si="28"/>
        <v>R</v>
      </c>
      <c r="CC20" s="17" t="str">
        <f t="shared" si="29"/>
        <v>R</v>
      </c>
      <c r="CD20" s="17" t="str">
        <f t="shared" si="29"/>
        <v>R</v>
      </c>
      <c r="CE20" s="17" t="str">
        <f t="shared" si="29"/>
        <v>R</v>
      </c>
      <c r="CF20" s="17" t="str">
        <f t="shared" si="29"/>
        <v>P</v>
      </c>
      <c r="CG20" s="17" t="str">
        <f t="shared" si="29"/>
        <v>P</v>
      </c>
      <c r="CH20" s="17" t="str">
        <f t="shared" si="29"/>
        <v>T</v>
      </c>
      <c r="CI20" s="17" t="str">
        <f t="shared" si="29"/>
        <v>T</v>
      </c>
      <c r="CJ20" s="17" t="str">
        <f t="shared" si="29"/>
        <v>T</v>
      </c>
      <c r="CK20" s="17" t="str">
        <f t="shared" si="29"/>
        <v>T</v>
      </c>
      <c r="CL20" s="17" t="str">
        <f t="shared" si="29"/>
        <v/>
      </c>
      <c r="CM20" s="17" t="str">
        <f t="shared" si="30"/>
        <v/>
      </c>
      <c r="CN20" s="17" t="str">
        <f t="shared" si="30"/>
        <v/>
      </c>
      <c r="CO20" s="17" t="str">
        <f t="shared" si="30"/>
        <v/>
      </c>
      <c r="CP20" s="17" t="str">
        <f t="shared" si="30"/>
        <v/>
      </c>
      <c r="CQ20" s="17" t="str">
        <f t="shared" si="30"/>
        <v/>
      </c>
      <c r="CR20" s="17" t="str">
        <f t="shared" si="30"/>
        <v/>
      </c>
      <c r="CS20" s="17" t="str">
        <f t="shared" si="30"/>
        <v/>
      </c>
      <c r="CT20" s="17" t="str">
        <f t="shared" si="30"/>
        <v/>
      </c>
      <c r="CU20" s="17" t="str">
        <f t="shared" si="30"/>
        <v/>
      </c>
      <c r="CV20" s="17" t="str">
        <f t="shared" si="30"/>
        <v/>
      </c>
      <c r="CW20" s="17" t="str">
        <f t="shared" si="31"/>
        <v/>
      </c>
      <c r="CX20" s="17" t="str">
        <f t="shared" si="31"/>
        <v/>
      </c>
      <c r="CY20" s="17" t="str">
        <f t="shared" si="31"/>
        <v/>
      </c>
      <c r="CZ20" s="17" t="str">
        <f t="shared" si="31"/>
        <v/>
      </c>
      <c r="DA20" s="17" t="str">
        <f t="shared" si="31"/>
        <v/>
      </c>
      <c r="DB20" s="17" t="str">
        <f t="shared" si="31"/>
        <v/>
      </c>
      <c r="DC20" s="17" t="str">
        <f t="shared" si="31"/>
        <v/>
      </c>
      <c r="DD20" s="17" t="str">
        <f t="shared" si="31"/>
        <v/>
      </c>
      <c r="DE20" s="17" t="str">
        <f t="shared" si="31"/>
        <v/>
      </c>
      <c r="DF20" s="17" t="str">
        <f t="shared" si="31"/>
        <v/>
      </c>
      <c r="DG20" s="17" t="str">
        <f t="shared" si="32"/>
        <v/>
      </c>
      <c r="DH20" s="17" t="str">
        <f t="shared" si="32"/>
        <v/>
      </c>
      <c r="DI20" s="17" t="str">
        <f t="shared" si="32"/>
        <v/>
      </c>
      <c r="DJ20" s="17" t="str">
        <f t="shared" si="32"/>
        <v/>
      </c>
      <c r="DK20" s="17" t="str">
        <f t="shared" si="32"/>
        <v/>
      </c>
      <c r="DL20" s="17" t="str">
        <f t="shared" si="32"/>
        <v/>
      </c>
      <c r="DM20" s="17" t="str">
        <f t="shared" si="32"/>
        <v/>
      </c>
      <c r="DN20" s="17" t="str">
        <f t="shared" si="32"/>
        <v/>
      </c>
      <c r="DO20" s="17" t="str">
        <f t="shared" si="32"/>
        <v/>
      </c>
      <c r="DP20" s="17" t="str">
        <f t="shared" si="32"/>
        <v/>
      </c>
      <c r="DQ20" s="17" t="str">
        <f t="shared" si="33"/>
        <v/>
      </c>
      <c r="DR20" s="17" t="str">
        <f t="shared" si="33"/>
        <v/>
      </c>
      <c r="DS20" s="17" t="str">
        <f t="shared" si="33"/>
        <v/>
      </c>
      <c r="DT20" s="17" t="str">
        <f t="shared" si="33"/>
        <v/>
      </c>
      <c r="DU20" s="17" t="str">
        <f t="shared" si="33"/>
        <v/>
      </c>
      <c r="DV20" s="17" t="str">
        <f t="shared" si="33"/>
        <v/>
      </c>
      <c r="DW20" s="17" t="str">
        <f t="shared" si="33"/>
        <v/>
      </c>
      <c r="DX20" s="17" t="str">
        <f t="shared" si="33"/>
        <v/>
      </c>
      <c r="DY20" s="17" t="str">
        <f t="shared" si="33"/>
        <v/>
      </c>
      <c r="DZ20" s="17" t="str">
        <f t="shared" si="33"/>
        <v/>
      </c>
      <c r="EA20" s="17" t="str">
        <f t="shared" si="34"/>
        <v/>
      </c>
      <c r="EB20" s="17" t="str">
        <f t="shared" si="34"/>
        <v/>
      </c>
      <c r="EC20" s="17" t="str">
        <f t="shared" si="34"/>
        <v/>
      </c>
      <c r="ED20" s="17" t="str">
        <f t="shared" si="34"/>
        <v/>
      </c>
      <c r="EE20" s="17" t="str">
        <f t="shared" si="34"/>
        <v/>
      </c>
      <c r="EF20" s="17" t="str">
        <f t="shared" si="34"/>
        <v/>
      </c>
      <c r="EG20" s="17" t="str">
        <f t="shared" si="34"/>
        <v/>
      </c>
      <c r="EH20" s="17" t="str">
        <f t="shared" si="34"/>
        <v/>
      </c>
      <c r="EI20" s="17" t="str">
        <f t="shared" si="34"/>
        <v/>
      </c>
      <c r="EJ20" s="17" t="str">
        <f t="shared" si="34"/>
        <v/>
      </c>
      <c r="EK20" s="17" t="str">
        <f t="shared" si="35"/>
        <v/>
      </c>
      <c r="EL20" s="17" t="str">
        <f t="shared" si="35"/>
        <v/>
      </c>
      <c r="EM20" s="17" t="str">
        <f t="shared" si="35"/>
        <v/>
      </c>
      <c r="EN20" s="17" t="str">
        <f t="shared" si="35"/>
        <v/>
      </c>
      <c r="EO20" s="17" t="str">
        <f t="shared" si="35"/>
        <v/>
      </c>
      <c r="EP20" s="17" t="str">
        <f t="shared" si="35"/>
        <v/>
      </c>
      <c r="EQ20" s="17" t="str">
        <f t="shared" si="35"/>
        <v/>
      </c>
      <c r="ER20" s="17" t="str">
        <f t="shared" si="35"/>
        <v/>
      </c>
      <c r="ES20" s="17" t="str">
        <f t="shared" si="35"/>
        <v/>
      </c>
      <c r="ET20" s="17" t="str">
        <f t="shared" si="35"/>
        <v/>
      </c>
      <c r="EU20" s="17" t="str">
        <f t="shared" si="36"/>
        <v/>
      </c>
      <c r="EV20" s="17" t="str">
        <f t="shared" si="36"/>
        <v/>
      </c>
      <c r="EW20" s="17" t="str">
        <f t="shared" si="36"/>
        <v/>
      </c>
      <c r="EX20" s="17" t="str">
        <f t="shared" si="36"/>
        <v/>
      </c>
      <c r="EY20" s="17" t="str">
        <f t="shared" si="36"/>
        <v/>
      </c>
      <c r="EZ20" s="17" t="str">
        <f t="shared" si="36"/>
        <v/>
      </c>
      <c r="FA20" s="17" t="str">
        <f t="shared" si="36"/>
        <v/>
      </c>
      <c r="FB20" s="17" t="str">
        <f t="shared" si="36"/>
        <v/>
      </c>
      <c r="FC20" s="17" t="str">
        <f t="shared" si="36"/>
        <v/>
      </c>
      <c r="FD20" s="17" t="str">
        <f t="shared" si="36"/>
        <v/>
      </c>
      <c r="FE20" s="17" t="str">
        <f t="shared" si="37"/>
        <v/>
      </c>
      <c r="FF20" s="17" t="str">
        <f t="shared" si="37"/>
        <v/>
      </c>
      <c r="FG20" s="17" t="str">
        <f t="shared" si="37"/>
        <v/>
      </c>
      <c r="FH20" s="17" t="str">
        <f t="shared" si="37"/>
        <v/>
      </c>
      <c r="FI20" s="17" t="str">
        <f t="shared" si="37"/>
        <v/>
      </c>
      <c r="FJ20" s="17" t="str">
        <f t="shared" si="37"/>
        <v/>
      </c>
      <c r="FK20" s="17" t="str">
        <f t="shared" si="37"/>
        <v/>
      </c>
      <c r="FL20" s="17" t="str">
        <f t="shared" si="37"/>
        <v/>
      </c>
      <c r="FM20" s="17" t="str">
        <f t="shared" si="37"/>
        <v/>
      </c>
      <c r="FN20" s="17" t="str">
        <f t="shared" si="37"/>
        <v/>
      </c>
      <c r="FO20" s="17" t="str">
        <f t="shared" si="38"/>
        <v/>
      </c>
      <c r="FP20" s="17" t="str">
        <f t="shared" si="38"/>
        <v/>
      </c>
      <c r="FQ20" s="17" t="str">
        <f t="shared" si="38"/>
        <v/>
      </c>
      <c r="FR20" s="17" t="str">
        <f t="shared" si="38"/>
        <v/>
      </c>
      <c r="FS20" s="17" t="str">
        <f t="shared" si="38"/>
        <v/>
      </c>
      <c r="FT20" s="17" t="str">
        <f t="shared" si="38"/>
        <v/>
      </c>
      <c r="FU20" s="17" t="str">
        <f t="shared" si="38"/>
        <v/>
      </c>
      <c r="FV20" s="17" t="str">
        <f t="shared" si="38"/>
        <v/>
      </c>
      <c r="FW20" s="17" t="str">
        <f t="shared" si="38"/>
        <v/>
      </c>
      <c r="FX20" s="17" t="str">
        <f t="shared" si="38"/>
        <v/>
      </c>
      <c r="FY20" s="17" t="str">
        <f t="shared" si="39"/>
        <v/>
      </c>
      <c r="FZ20" s="17" t="str">
        <f t="shared" si="39"/>
        <v/>
      </c>
      <c r="GA20" s="17" t="str">
        <f t="shared" si="39"/>
        <v/>
      </c>
      <c r="GB20" s="17" t="str">
        <f t="shared" si="39"/>
        <v/>
      </c>
      <c r="GC20" s="17" t="str">
        <f t="shared" si="39"/>
        <v/>
      </c>
      <c r="GD20" s="17" t="str">
        <f t="shared" si="39"/>
        <v/>
      </c>
      <c r="GE20" s="17" t="str">
        <f t="shared" si="39"/>
        <v/>
      </c>
      <c r="GF20" s="17" t="str">
        <f t="shared" si="39"/>
        <v/>
      </c>
      <c r="GG20" s="17" t="str">
        <f t="shared" si="39"/>
        <v/>
      </c>
      <c r="GH20" s="17" t="str">
        <f t="shared" si="39"/>
        <v/>
      </c>
      <c r="GI20" s="17" t="str">
        <f t="shared" si="40"/>
        <v/>
      </c>
      <c r="GJ20" s="17" t="str">
        <f t="shared" si="40"/>
        <v/>
      </c>
      <c r="GK20" s="17" t="str">
        <f t="shared" si="40"/>
        <v/>
      </c>
      <c r="GL20" s="17" t="str">
        <f t="shared" si="40"/>
        <v/>
      </c>
      <c r="GM20" s="17" t="str">
        <f t="shared" si="40"/>
        <v/>
      </c>
      <c r="GN20" s="17" t="str">
        <f t="shared" si="40"/>
        <v/>
      </c>
      <c r="GO20" s="17" t="str">
        <f t="shared" si="40"/>
        <v/>
      </c>
      <c r="GP20" s="17" t="str">
        <f t="shared" si="40"/>
        <v/>
      </c>
      <c r="GQ20" s="17" t="str">
        <f t="shared" si="40"/>
        <v/>
      </c>
      <c r="GR20" s="17" t="str">
        <f t="shared" si="40"/>
        <v/>
      </c>
      <c r="GS20" s="17" t="str">
        <f t="shared" si="41"/>
        <v/>
      </c>
      <c r="GT20" s="17" t="str">
        <f t="shared" si="41"/>
        <v/>
      </c>
      <c r="GU20" s="17" t="str">
        <f t="shared" si="41"/>
        <v/>
      </c>
      <c r="GV20" s="17" t="str">
        <f t="shared" si="41"/>
        <v/>
      </c>
      <c r="GW20" s="17" t="str">
        <f t="shared" si="41"/>
        <v/>
      </c>
      <c r="GX20" s="17" t="str">
        <f t="shared" si="41"/>
        <v/>
      </c>
      <c r="GY20" s="17" t="str">
        <f t="shared" si="41"/>
        <v/>
      </c>
      <c r="GZ20" s="17" t="str">
        <f t="shared" si="41"/>
        <v/>
      </c>
      <c r="HA20" s="17" t="str">
        <f t="shared" si="41"/>
        <v/>
      </c>
      <c r="HB20" s="17" t="str">
        <f t="shared" si="41"/>
        <v/>
      </c>
      <c r="HC20" s="17" t="str">
        <f t="shared" si="42"/>
        <v/>
      </c>
      <c r="HD20" s="17" t="str">
        <f t="shared" si="42"/>
        <v/>
      </c>
      <c r="HE20" s="17" t="str">
        <f t="shared" si="42"/>
        <v/>
      </c>
      <c r="HF20" s="17" t="str">
        <f t="shared" si="42"/>
        <v/>
      </c>
      <c r="HG20" s="17" t="str">
        <f t="shared" si="42"/>
        <v/>
      </c>
      <c r="HH20" s="17" t="str">
        <f t="shared" si="42"/>
        <v/>
      </c>
      <c r="HI20" s="17" t="str">
        <f t="shared" si="42"/>
        <v/>
      </c>
      <c r="HJ20" s="17" t="str">
        <f t="shared" si="42"/>
        <v/>
      </c>
      <c r="HK20" s="17" t="str">
        <f t="shared" si="42"/>
        <v/>
      </c>
      <c r="HL20" s="17" t="str">
        <f t="shared" si="42"/>
        <v/>
      </c>
      <c r="HM20" s="17" t="str">
        <f t="shared" si="43"/>
        <v/>
      </c>
      <c r="HN20" s="17" t="str">
        <f t="shared" si="43"/>
        <v/>
      </c>
      <c r="HO20" s="17" t="str">
        <f t="shared" si="43"/>
        <v/>
      </c>
      <c r="HP20" s="17" t="str">
        <f t="shared" si="43"/>
        <v/>
      </c>
      <c r="HQ20" s="17" t="str">
        <f t="shared" si="43"/>
        <v/>
      </c>
      <c r="HR20" s="17" t="str">
        <f t="shared" si="43"/>
        <v/>
      </c>
      <c r="HS20" s="17" t="str">
        <f t="shared" si="43"/>
        <v/>
      </c>
      <c r="HT20" s="17" t="str">
        <f t="shared" si="43"/>
        <v/>
      </c>
      <c r="HU20" s="17" t="str">
        <f t="shared" si="43"/>
        <v/>
      </c>
      <c r="HV20" s="17" t="str">
        <f t="shared" si="43"/>
        <v/>
      </c>
      <c r="HW20" s="17" t="str">
        <f t="shared" si="43"/>
        <v/>
      </c>
      <c r="HX20" s="17" t="str">
        <f t="shared" si="43"/>
        <v/>
      </c>
      <c r="HY20" s="17" t="str">
        <f t="shared" si="43"/>
        <v/>
      </c>
      <c r="HZ20" s="17" t="str">
        <f t="shared" si="43"/>
        <v/>
      </c>
      <c r="IA20" s="17" t="str">
        <f t="shared" si="43"/>
        <v/>
      </c>
    </row>
    <row r="21" spans="1:235" ht="25.95" customHeight="1" x14ac:dyDescent="0.3">
      <c r="A21" s="7">
        <v>16</v>
      </c>
      <c r="B21" s="7">
        <f>Premissas!$B$6</f>
        <v>6</v>
      </c>
      <c r="C21" s="7">
        <f>15*Premissas!$B$8</f>
        <v>181.81818181818184</v>
      </c>
      <c r="D21" s="7">
        <f>C21+Premissas!$B$9</f>
        <v>229.81818181818184</v>
      </c>
      <c r="E21" s="7">
        <f>C21+Premissas!$B$11</f>
        <v>235.81818181818184</v>
      </c>
      <c r="F21" s="7">
        <f>E21+Premissas!$B$8</f>
        <v>247.93939393939397</v>
      </c>
      <c r="G21" s="7">
        <f>Premissas!$B$11</f>
        <v>54</v>
      </c>
      <c r="H21" s="7">
        <f>Premissas!$B$12</f>
        <v>3</v>
      </c>
      <c r="I21" s="7" t="s">
        <v>47</v>
      </c>
      <c r="J21" s="8" t="s">
        <v>48</v>
      </c>
      <c r="K21" s="17" t="str">
        <f t="shared" si="22"/>
        <v/>
      </c>
      <c r="L21" s="17" t="str">
        <f t="shared" si="22"/>
        <v/>
      </c>
      <c r="M21" s="17" t="str">
        <f t="shared" si="22"/>
        <v/>
      </c>
      <c r="N21" s="17" t="str">
        <f t="shared" si="22"/>
        <v/>
      </c>
      <c r="O21" s="17" t="str">
        <f t="shared" si="22"/>
        <v/>
      </c>
      <c r="P21" s="17" t="str">
        <f t="shared" si="22"/>
        <v/>
      </c>
      <c r="Q21" s="17" t="str">
        <f t="shared" si="22"/>
        <v/>
      </c>
      <c r="R21" s="17" t="str">
        <f t="shared" si="22"/>
        <v/>
      </c>
      <c r="S21" s="17" t="str">
        <f t="shared" si="22"/>
        <v/>
      </c>
      <c r="T21" s="17" t="str">
        <f t="shared" si="22"/>
        <v/>
      </c>
      <c r="U21" s="17" t="str">
        <f t="shared" si="23"/>
        <v/>
      </c>
      <c r="V21" s="17" t="str">
        <f t="shared" si="23"/>
        <v/>
      </c>
      <c r="W21" s="17" t="str">
        <f t="shared" si="23"/>
        <v/>
      </c>
      <c r="X21" s="17" t="str">
        <f t="shared" si="23"/>
        <v/>
      </c>
      <c r="Y21" s="17" t="str">
        <f t="shared" si="23"/>
        <v/>
      </c>
      <c r="Z21" s="17" t="str">
        <f t="shared" si="23"/>
        <v/>
      </c>
      <c r="AA21" s="17" t="str">
        <f t="shared" si="23"/>
        <v/>
      </c>
      <c r="AB21" s="17" t="str">
        <f t="shared" si="23"/>
        <v/>
      </c>
      <c r="AC21" s="17" t="str">
        <f t="shared" si="23"/>
        <v/>
      </c>
      <c r="AD21" s="17" t="str">
        <f t="shared" si="23"/>
        <v/>
      </c>
      <c r="AE21" s="17" t="str">
        <f t="shared" si="24"/>
        <v/>
      </c>
      <c r="AF21" s="17" t="str">
        <f t="shared" si="24"/>
        <v/>
      </c>
      <c r="AG21" s="17" t="str">
        <f t="shared" si="24"/>
        <v/>
      </c>
      <c r="AH21" s="17" t="str">
        <f t="shared" si="24"/>
        <v/>
      </c>
      <c r="AI21" s="17" t="str">
        <f t="shared" si="24"/>
        <v/>
      </c>
      <c r="AJ21" s="17" t="str">
        <f t="shared" si="24"/>
        <v/>
      </c>
      <c r="AK21" s="17" t="str">
        <f t="shared" si="24"/>
        <v/>
      </c>
      <c r="AL21" s="17" t="str">
        <f t="shared" si="24"/>
        <v/>
      </c>
      <c r="AM21" s="17" t="str">
        <f t="shared" si="24"/>
        <v/>
      </c>
      <c r="AN21" s="17" t="str">
        <f t="shared" si="24"/>
        <v/>
      </c>
      <c r="AO21" s="17" t="str">
        <f t="shared" si="25"/>
        <v/>
      </c>
      <c r="AP21" s="17" t="str">
        <f t="shared" si="25"/>
        <v/>
      </c>
      <c r="AQ21" s="17" t="str">
        <f t="shared" si="25"/>
        <v/>
      </c>
      <c r="AR21" s="17" t="str">
        <f t="shared" si="25"/>
        <v/>
      </c>
      <c r="AS21" s="17" t="str">
        <f t="shared" si="25"/>
        <v/>
      </c>
      <c r="AT21" s="17" t="str">
        <f t="shared" si="25"/>
        <v/>
      </c>
      <c r="AU21" s="17" t="str">
        <f t="shared" si="25"/>
        <v/>
      </c>
      <c r="AV21" s="17" t="str">
        <f t="shared" si="25"/>
        <v/>
      </c>
      <c r="AW21" s="17" t="str">
        <f t="shared" si="25"/>
        <v/>
      </c>
      <c r="AX21" s="17" t="str">
        <f t="shared" si="25"/>
        <v/>
      </c>
      <c r="AY21" s="17" t="str">
        <f t="shared" si="26"/>
        <v/>
      </c>
      <c r="AZ21" s="17" t="str">
        <f t="shared" si="26"/>
        <v/>
      </c>
      <c r="BA21" s="17" t="str">
        <f t="shared" si="26"/>
        <v/>
      </c>
      <c r="BB21" s="17" t="str">
        <f t="shared" si="26"/>
        <v/>
      </c>
      <c r="BC21" s="17" t="str">
        <f t="shared" si="26"/>
        <v/>
      </c>
      <c r="BD21" s="17" t="str">
        <f t="shared" si="26"/>
        <v/>
      </c>
      <c r="BE21" s="17" t="str">
        <f t="shared" si="26"/>
        <v/>
      </c>
      <c r="BF21" s="17" t="str">
        <f t="shared" si="26"/>
        <v/>
      </c>
      <c r="BG21" s="17" t="str">
        <f t="shared" si="26"/>
        <v/>
      </c>
      <c r="BH21" s="17" t="str">
        <f t="shared" si="26"/>
        <v/>
      </c>
      <c r="BI21" s="17" t="str">
        <f t="shared" si="27"/>
        <v/>
      </c>
      <c r="BJ21" s="17" t="str">
        <f t="shared" si="27"/>
        <v/>
      </c>
      <c r="BK21" s="17" t="str">
        <f t="shared" si="27"/>
        <v/>
      </c>
      <c r="BL21" s="17" t="str">
        <f t="shared" si="27"/>
        <v/>
      </c>
      <c r="BM21" s="17" t="str">
        <f t="shared" si="27"/>
        <v/>
      </c>
      <c r="BN21" s="17" t="str">
        <f t="shared" si="27"/>
        <v/>
      </c>
      <c r="BO21" s="17" t="str">
        <f t="shared" si="27"/>
        <v/>
      </c>
      <c r="BP21" s="17" t="str">
        <f t="shared" si="27"/>
        <v/>
      </c>
      <c r="BQ21" s="17" t="str">
        <f t="shared" si="27"/>
        <v/>
      </c>
      <c r="BR21" s="17" t="str">
        <f t="shared" si="27"/>
        <v/>
      </c>
      <c r="BS21" s="17" t="str">
        <f t="shared" si="28"/>
        <v/>
      </c>
      <c r="BT21" s="17" t="str">
        <f t="shared" si="28"/>
        <v>R</v>
      </c>
      <c r="BU21" s="17" t="str">
        <f t="shared" si="28"/>
        <v>R</v>
      </c>
      <c r="BV21" s="17" t="str">
        <f t="shared" si="28"/>
        <v>R</v>
      </c>
      <c r="BW21" s="17" t="str">
        <f t="shared" si="28"/>
        <v>R</v>
      </c>
      <c r="BX21" s="17" t="str">
        <f t="shared" si="28"/>
        <v>R</v>
      </c>
      <c r="BY21" s="17" t="str">
        <f t="shared" si="28"/>
        <v>R</v>
      </c>
      <c r="BZ21" s="17" t="str">
        <f t="shared" si="28"/>
        <v>R</v>
      </c>
      <c r="CA21" s="17" t="str">
        <f t="shared" si="28"/>
        <v>R</v>
      </c>
      <c r="CB21" s="17" t="str">
        <f t="shared" si="28"/>
        <v>R</v>
      </c>
      <c r="CC21" s="17" t="str">
        <f t="shared" si="29"/>
        <v>R</v>
      </c>
      <c r="CD21" s="17" t="str">
        <f t="shared" si="29"/>
        <v>R</v>
      </c>
      <c r="CE21" s="17" t="str">
        <f t="shared" si="29"/>
        <v>R</v>
      </c>
      <c r="CF21" s="17" t="str">
        <f t="shared" si="29"/>
        <v>R</v>
      </c>
      <c r="CG21" s="17" t="str">
        <f t="shared" si="29"/>
        <v>R</v>
      </c>
      <c r="CH21" s="17" t="str">
        <f t="shared" si="29"/>
        <v>R</v>
      </c>
      <c r="CI21" s="17" t="str">
        <f t="shared" si="29"/>
        <v>R</v>
      </c>
      <c r="CJ21" s="17" t="str">
        <f t="shared" si="29"/>
        <v>P</v>
      </c>
      <c r="CK21" s="17" t="str">
        <f t="shared" si="29"/>
        <v>P</v>
      </c>
      <c r="CL21" s="17" t="str">
        <f t="shared" si="29"/>
        <v>T</v>
      </c>
      <c r="CM21" s="17" t="str">
        <f t="shared" si="30"/>
        <v>T</v>
      </c>
      <c r="CN21" s="17" t="str">
        <f t="shared" si="30"/>
        <v>T</v>
      </c>
      <c r="CO21" s="17" t="str">
        <f t="shared" si="30"/>
        <v>T</v>
      </c>
      <c r="CP21" s="17" t="str">
        <f t="shared" si="30"/>
        <v/>
      </c>
      <c r="CQ21" s="17" t="str">
        <f t="shared" si="30"/>
        <v/>
      </c>
      <c r="CR21" s="17" t="str">
        <f t="shared" si="30"/>
        <v/>
      </c>
      <c r="CS21" s="17" t="str">
        <f t="shared" si="30"/>
        <v/>
      </c>
      <c r="CT21" s="17" t="str">
        <f t="shared" si="30"/>
        <v/>
      </c>
      <c r="CU21" s="17" t="str">
        <f t="shared" si="30"/>
        <v/>
      </c>
      <c r="CV21" s="17" t="str">
        <f t="shared" si="30"/>
        <v/>
      </c>
      <c r="CW21" s="17" t="str">
        <f t="shared" si="31"/>
        <v/>
      </c>
      <c r="CX21" s="17" t="str">
        <f t="shared" si="31"/>
        <v/>
      </c>
      <c r="CY21" s="17" t="str">
        <f t="shared" si="31"/>
        <v/>
      </c>
      <c r="CZ21" s="17" t="str">
        <f t="shared" si="31"/>
        <v/>
      </c>
      <c r="DA21" s="17" t="str">
        <f t="shared" si="31"/>
        <v/>
      </c>
      <c r="DB21" s="17" t="str">
        <f t="shared" si="31"/>
        <v/>
      </c>
      <c r="DC21" s="17" t="str">
        <f t="shared" si="31"/>
        <v/>
      </c>
      <c r="DD21" s="17" t="str">
        <f t="shared" si="31"/>
        <v/>
      </c>
      <c r="DE21" s="17" t="str">
        <f t="shared" si="31"/>
        <v/>
      </c>
      <c r="DF21" s="17" t="str">
        <f t="shared" si="31"/>
        <v/>
      </c>
      <c r="DG21" s="17" t="str">
        <f t="shared" si="32"/>
        <v/>
      </c>
      <c r="DH21" s="17" t="str">
        <f t="shared" si="32"/>
        <v/>
      </c>
      <c r="DI21" s="17" t="str">
        <f t="shared" si="32"/>
        <v/>
      </c>
      <c r="DJ21" s="17" t="str">
        <f t="shared" si="32"/>
        <v/>
      </c>
      <c r="DK21" s="17" t="str">
        <f t="shared" si="32"/>
        <v/>
      </c>
      <c r="DL21" s="17" t="str">
        <f t="shared" si="32"/>
        <v/>
      </c>
      <c r="DM21" s="17" t="str">
        <f t="shared" si="32"/>
        <v/>
      </c>
      <c r="DN21" s="17" t="str">
        <f t="shared" si="32"/>
        <v/>
      </c>
      <c r="DO21" s="17" t="str">
        <f t="shared" si="32"/>
        <v/>
      </c>
      <c r="DP21" s="17" t="str">
        <f t="shared" si="32"/>
        <v/>
      </c>
      <c r="DQ21" s="17" t="str">
        <f t="shared" si="33"/>
        <v/>
      </c>
      <c r="DR21" s="17" t="str">
        <f t="shared" si="33"/>
        <v/>
      </c>
      <c r="DS21" s="17" t="str">
        <f t="shared" si="33"/>
        <v/>
      </c>
      <c r="DT21" s="17" t="str">
        <f t="shared" si="33"/>
        <v/>
      </c>
      <c r="DU21" s="17" t="str">
        <f t="shared" si="33"/>
        <v/>
      </c>
      <c r="DV21" s="17" t="str">
        <f t="shared" si="33"/>
        <v/>
      </c>
      <c r="DW21" s="17" t="str">
        <f t="shared" si="33"/>
        <v/>
      </c>
      <c r="DX21" s="17" t="str">
        <f t="shared" si="33"/>
        <v/>
      </c>
      <c r="DY21" s="17" t="str">
        <f t="shared" si="33"/>
        <v/>
      </c>
      <c r="DZ21" s="17" t="str">
        <f t="shared" si="33"/>
        <v/>
      </c>
      <c r="EA21" s="17" t="str">
        <f t="shared" si="34"/>
        <v/>
      </c>
      <c r="EB21" s="17" t="str">
        <f t="shared" si="34"/>
        <v/>
      </c>
      <c r="EC21" s="17" t="str">
        <f t="shared" si="34"/>
        <v/>
      </c>
      <c r="ED21" s="17" t="str">
        <f t="shared" si="34"/>
        <v/>
      </c>
      <c r="EE21" s="17" t="str">
        <f t="shared" si="34"/>
        <v/>
      </c>
      <c r="EF21" s="17" t="str">
        <f t="shared" si="34"/>
        <v/>
      </c>
      <c r="EG21" s="17" t="str">
        <f t="shared" si="34"/>
        <v/>
      </c>
      <c r="EH21" s="17" t="str">
        <f t="shared" si="34"/>
        <v/>
      </c>
      <c r="EI21" s="17" t="str">
        <f t="shared" si="34"/>
        <v/>
      </c>
      <c r="EJ21" s="17" t="str">
        <f t="shared" si="34"/>
        <v/>
      </c>
      <c r="EK21" s="17" t="str">
        <f t="shared" si="35"/>
        <v/>
      </c>
      <c r="EL21" s="17" t="str">
        <f t="shared" si="35"/>
        <v/>
      </c>
      <c r="EM21" s="17" t="str">
        <f t="shared" si="35"/>
        <v/>
      </c>
      <c r="EN21" s="17" t="str">
        <f t="shared" si="35"/>
        <v/>
      </c>
      <c r="EO21" s="17" t="str">
        <f t="shared" si="35"/>
        <v/>
      </c>
      <c r="EP21" s="17" t="str">
        <f t="shared" si="35"/>
        <v/>
      </c>
      <c r="EQ21" s="17" t="str">
        <f t="shared" si="35"/>
        <v/>
      </c>
      <c r="ER21" s="17" t="str">
        <f t="shared" si="35"/>
        <v/>
      </c>
      <c r="ES21" s="17" t="str">
        <f t="shared" si="35"/>
        <v/>
      </c>
      <c r="ET21" s="17" t="str">
        <f t="shared" si="35"/>
        <v/>
      </c>
      <c r="EU21" s="17" t="str">
        <f t="shared" si="36"/>
        <v/>
      </c>
      <c r="EV21" s="17" t="str">
        <f t="shared" si="36"/>
        <v/>
      </c>
      <c r="EW21" s="17" t="str">
        <f t="shared" si="36"/>
        <v/>
      </c>
      <c r="EX21" s="17" t="str">
        <f t="shared" si="36"/>
        <v/>
      </c>
      <c r="EY21" s="17" t="str">
        <f t="shared" si="36"/>
        <v/>
      </c>
      <c r="EZ21" s="17" t="str">
        <f t="shared" si="36"/>
        <v/>
      </c>
      <c r="FA21" s="17" t="str">
        <f t="shared" si="36"/>
        <v/>
      </c>
      <c r="FB21" s="17" t="str">
        <f t="shared" si="36"/>
        <v/>
      </c>
      <c r="FC21" s="17" t="str">
        <f t="shared" si="36"/>
        <v/>
      </c>
      <c r="FD21" s="17" t="str">
        <f t="shared" si="36"/>
        <v/>
      </c>
      <c r="FE21" s="17" t="str">
        <f t="shared" si="37"/>
        <v/>
      </c>
      <c r="FF21" s="17" t="str">
        <f t="shared" si="37"/>
        <v/>
      </c>
      <c r="FG21" s="17" t="str">
        <f t="shared" si="37"/>
        <v/>
      </c>
      <c r="FH21" s="17" t="str">
        <f t="shared" si="37"/>
        <v/>
      </c>
      <c r="FI21" s="17" t="str">
        <f t="shared" si="37"/>
        <v/>
      </c>
      <c r="FJ21" s="17" t="str">
        <f t="shared" si="37"/>
        <v/>
      </c>
      <c r="FK21" s="17" t="str">
        <f t="shared" si="37"/>
        <v/>
      </c>
      <c r="FL21" s="17" t="str">
        <f t="shared" si="37"/>
        <v/>
      </c>
      <c r="FM21" s="17" t="str">
        <f t="shared" si="37"/>
        <v/>
      </c>
      <c r="FN21" s="17" t="str">
        <f t="shared" si="37"/>
        <v/>
      </c>
      <c r="FO21" s="17" t="str">
        <f t="shared" si="38"/>
        <v/>
      </c>
      <c r="FP21" s="17" t="str">
        <f t="shared" si="38"/>
        <v/>
      </c>
      <c r="FQ21" s="17" t="str">
        <f t="shared" si="38"/>
        <v/>
      </c>
      <c r="FR21" s="17" t="str">
        <f t="shared" si="38"/>
        <v/>
      </c>
      <c r="FS21" s="17" t="str">
        <f t="shared" si="38"/>
        <v/>
      </c>
      <c r="FT21" s="17" t="str">
        <f t="shared" si="38"/>
        <v/>
      </c>
      <c r="FU21" s="17" t="str">
        <f t="shared" si="38"/>
        <v/>
      </c>
      <c r="FV21" s="17" t="str">
        <f t="shared" si="38"/>
        <v/>
      </c>
      <c r="FW21" s="17" t="str">
        <f t="shared" si="38"/>
        <v/>
      </c>
      <c r="FX21" s="17" t="str">
        <f t="shared" si="38"/>
        <v/>
      </c>
      <c r="FY21" s="17" t="str">
        <f t="shared" si="39"/>
        <v/>
      </c>
      <c r="FZ21" s="17" t="str">
        <f t="shared" si="39"/>
        <v/>
      </c>
      <c r="GA21" s="17" t="str">
        <f t="shared" si="39"/>
        <v/>
      </c>
      <c r="GB21" s="17" t="str">
        <f t="shared" si="39"/>
        <v/>
      </c>
      <c r="GC21" s="17" t="str">
        <f t="shared" si="39"/>
        <v/>
      </c>
      <c r="GD21" s="17" t="str">
        <f t="shared" si="39"/>
        <v/>
      </c>
      <c r="GE21" s="17" t="str">
        <f t="shared" si="39"/>
        <v/>
      </c>
      <c r="GF21" s="17" t="str">
        <f t="shared" si="39"/>
        <v/>
      </c>
      <c r="GG21" s="17" t="str">
        <f t="shared" si="39"/>
        <v/>
      </c>
      <c r="GH21" s="17" t="str">
        <f t="shared" si="39"/>
        <v/>
      </c>
      <c r="GI21" s="17" t="str">
        <f t="shared" si="40"/>
        <v/>
      </c>
      <c r="GJ21" s="17" t="str">
        <f t="shared" si="40"/>
        <v/>
      </c>
      <c r="GK21" s="17" t="str">
        <f t="shared" si="40"/>
        <v/>
      </c>
      <c r="GL21" s="17" t="str">
        <f t="shared" si="40"/>
        <v/>
      </c>
      <c r="GM21" s="17" t="str">
        <f t="shared" si="40"/>
        <v/>
      </c>
      <c r="GN21" s="17" t="str">
        <f t="shared" si="40"/>
        <v/>
      </c>
      <c r="GO21" s="17" t="str">
        <f t="shared" si="40"/>
        <v/>
      </c>
      <c r="GP21" s="17" t="str">
        <f t="shared" si="40"/>
        <v/>
      </c>
      <c r="GQ21" s="17" t="str">
        <f t="shared" si="40"/>
        <v/>
      </c>
      <c r="GR21" s="17" t="str">
        <f t="shared" si="40"/>
        <v/>
      </c>
      <c r="GS21" s="17" t="str">
        <f t="shared" si="41"/>
        <v/>
      </c>
      <c r="GT21" s="17" t="str">
        <f t="shared" si="41"/>
        <v/>
      </c>
      <c r="GU21" s="17" t="str">
        <f t="shared" si="41"/>
        <v/>
      </c>
      <c r="GV21" s="17" t="str">
        <f t="shared" si="41"/>
        <v/>
      </c>
      <c r="GW21" s="17" t="str">
        <f t="shared" si="41"/>
        <v/>
      </c>
      <c r="GX21" s="17" t="str">
        <f t="shared" si="41"/>
        <v/>
      </c>
      <c r="GY21" s="17" t="str">
        <f t="shared" si="41"/>
        <v/>
      </c>
      <c r="GZ21" s="17" t="str">
        <f t="shared" si="41"/>
        <v/>
      </c>
      <c r="HA21" s="17" t="str">
        <f t="shared" si="41"/>
        <v/>
      </c>
      <c r="HB21" s="17" t="str">
        <f t="shared" si="41"/>
        <v/>
      </c>
      <c r="HC21" s="17" t="str">
        <f t="shared" si="42"/>
        <v/>
      </c>
      <c r="HD21" s="17" t="str">
        <f t="shared" si="42"/>
        <v/>
      </c>
      <c r="HE21" s="17" t="str">
        <f t="shared" si="42"/>
        <v/>
      </c>
      <c r="HF21" s="17" t="str">
        <f t="shared" si="42"/>
        <v/>
      </c>
      <c r="HG21" s="17" t="str">
        <f t="shared" si="42"/>
        <v/>
      </c>
      <c r="HH21" s="17" t="str">
        <f t="shared" si="42"/>
        <v/>
      </c>
      <c r="HI21" s="17" t="str">
        <f t="shared" si="42"/>
        <v/>
      </c>
      <c r="HJ21" s="17" t="str">
        <f t="shared" si="42"/>
        <v/>
      </c>
      <c r="HK21" s="17" t="str">
        <f t="shared" si="42"/>
        <v/>
      </c>
      <c r="HL21" s="17" t="str">
        <f t="shared" si="42"/>
        <v/>
      </c>
      <c r="HM21" s="17" t="str">
        <f t="shared" si="43"/>
        <v/>
      </c>
      <c r="HN21" s="17" t="str">
        <f t="shared" si="43"/>
        <v/>
      </c>
      <c r="HO21" s="17" t="str">
        <f t="shared" si="43"/>
        <v/>
      </c>
      <c r="HP21" s="17" t="str">
        <f t="shared" si="43"/>
        <v/>
      </c>
      <c r="HQ21" s="17" t="str">
        <f t="shared" si="43"/>
        <v/>
      </c>
      <c r="HR21" s="17" t="str">
        <f t="shared" si="43"/>
        <v/>
      </c>
      <c r="HS21" s="17" t="str">
        <f t="shared" si="43"/>
        <v/>
      </c>
      <c r="HT21" s="17" t="str">
        <f t="shared" si="43"/>
        <v/>
      </c>
      <c r="HU21" s="17" t="str">
        <f t="shared" si="43"/>
        <v/>
      </c>
      <c r="HV21" s="17" t="str">
        <f t="shared" si="43"/>
        <v/>
      </c>
      <c r="HW21" s="17" t="str">
        <f t="shared" si="43"/>
        <v/>
      </c>
      <c r="HX21" s="17" t="str">
        <f t="shared" si="43"/>
        <v/>
      </c>
      <c r="HY21" s="17" t="str">
        <f t="shared" si="43"/>
        <v/>
      </c>
      <c r="HZ21" s="17" t="str">
        <f t="shared" si="43"/>
        <v/>
      </c>
      <c r="IA21" s="17" t="str">
        <f t="shared" si="43"/>
        <v/>
      </c>
    </row>
    <row r="22" spans="1:235" ht="25.95" customHeight="1" x14ac:dyDescent="0.3">
      <c r="A22" s="7">
        <v>17</v>
      </c>
      <c r="B22" s="7">
        <f>Premissas!$B$6</f>
        <v>6</v>
      </c>
      <c r="C22" s="7">
        <f>16*Premissas!$B$8</f>
        <v>193.93939393939397</v>
      </c>
      <c r="D22" s="7">
        <f>C22+Premissas!$B$9</f>
        <v>241.93939393939397</v>
      </c>
      <c r="E22" s="7">
        <f>C22+Premissas!$B$11</f>
        <v>247.93939393939397</v>
      </c>
      <c r="F22" s="7">
        <f>E22+Premissas!$B$8</f>
        <v>260.06060606060606</v>
      </c>
      <c r="G22" s="7">
        <f>Premissas!$B$11</f>
        <v>54</v>
      </c>
      <c r="H22" s="7">
        <f>Premissas!$B$12</f>
        <v>3</v>
      </c>
      <c r="I22" s="7" t="s">
        <v>47</v>
      </c>
      <c r="J22" s="8" t="s">
        <v>48</v>
      </c>
      <c r="K22" s="17" t="str">
        <f t="shared" si="22"/>
        <v/>
      </c>
      <c r="L22" s="17" t="str">
        <f t="shared" si="22"/>
        <v/>
      </c>
      <c r="M22" s="17" t="str">
        <f t="shared" si="22"/>
        <v/>
      </c>
      <c r="N22" s="17" t="str">
        <f t="shared" si="22"/>
        <v/>
      </c>
      <c r="O22" s="17" t="str">
        <f t="shared" si="22"/>
        <v/>
      </c>
      <c r="P22" s="17" t="str">
        <f t="shared" si="22"/>
        <v/>
      </c>
      <c r="Q22" s="17" t="str">
        <f t="shared" si="22"/>
        <v/>
      </c>
      <c r="R22" s="17" t="str">
        <f t="shared" si="22"/>
        <v/>
      </c>
      <c r="S22" s="17" t="str">
        <f t="shared" si="22"/>
        <v/>
      </c>
      <c r="T22" s="17" t="str">
        <f t="shared" si="22"/>
        <v/>
      </c>
      <c r="U22" s="17" t="str">
        <f t="shared" si="23"/>
        <v/>
      </c>
      <c r="V22" s="17" t="str">
        <f t="shared" si="23"/>
        <v/>
      </c>
      <c r="W22" s="17" t="str">
        <f t="shared" si="23"/>
        <v/>
      </c>
      <c r="X22" s="17" t="str">
        <f t="shared" si="23"/>
        <v/>
      </c>
      <c r="Y22" s="17" t="str">
        <f t="shared" si="23"/>
        <v/>
      </c>
      <c r="Z22" s="17" t="str">
        <f t="shared" si="23"/>
        <v/>
      </c>
      <c r="AA22" s="17" t="str">
        <f t="shared" si="23"/>
        <v/>
      </c>
      <c r="AB22" s="17" t="str">
        <f t="shared" si="23"/>
        <v/>
      </c>
      <c r="AC22" s="17" t="str">
        <f t="shared" si="23"/>
        <v/>
      </c>
      <c r="AD22" s="17" t="str">
        <f t="shared" si="23"/>
        <v/>
      </c>
      <c r="AE22" s="17" t="str">
        <f t="shared" si="24"/>
        <v/>
      </c>
      <c r="AF22" s="17" t="str">
        <f t="shared" si="24"/>
        <v/>
      </c>
      <c r="AG22" s="17" t="str">
        <f t="shared" si="24"/>
        <v/>
      </c>
      <c r="AH22" s="17" t="str">
        <f t="shared" si="24"/>
        <v/>
      </c>
      <c r="AI22" s="17" t="str">
        <f t="shared" si="24"/>
        <v/>
      </c>
      <c r="AJ22" s="17" t="str">
        <f t="shared" si="24"/>
        <v/>
      </c>
      <c r="AK22" s="17" t="str">
        <f t="shared" si="24"/>
        <v/>
      </c>
      <c r="AL22" s="17" t="str">
        <f t="shared" si="24"/>
        <v/>
      </c>
      <c r="AM22" s="17" t="str">
        <f t="shared" si="24"/>
        <v/>
      </c>
      <c r="AN22" s="17" t="str">
        <f t="shared" si="24"/>
        <v/>
      </c>
      <c r="AO22" s="17" t="str">
        <f t="shared" si="25"/>
        <v/>
      </c>
      <c r="AP22" s="17" t="str">
        <f t="shared" si="25"/>
        <v/>
      </c>
      <c r="AQ22" s="17" t="str">
        <f t="shared" si="25"/>
        <v/>
      </c>
      <c r="AR22" s="17" t="str">
        <f t="shared" si="25"/>
        <v/>
      </c>
      <c r="AS22" s="17" t="str">
        <f t="shared" si="25"/>
        <v/>
      </c>
      <c r="AT22" s="17" t="str">
        <f t="shared" si="25"/>
        <v/>
      </c>
      <c r="AU22" s="17" t="str">
        <f t="shared" si="25"/>
        <v/>
      </c>
      <c r="AV22" s="17" t="str">
        <f t="shared" si="25"/>
        <v/>
      </c>
      <c r="AW22" s="17" t="str">
        <f t="shared" si="25"/>
        <v/>
      </c>
      <c r="AX22" s="17" t="str">
        <f t="shared" si="25"/>
        <v/>
      </c>
      <c r="AY22" s="17" t="str">
        <f t="shared" si="26"/>
        <v/>
      </c>
      <c r="AZ22" s="17" t="str">
        <f t="shared" si="26"/>
        <v/>
      </c>
      <c r="BA22" s="17" t="str">
        <f t="shared" si="26"/>
        <v/>
      </c>
      <c r="BB22" s="17" t="str">
        <f t="shared" si="26"/>
        <v/>
      </c>
      <c r="BC22" s="17" t="str">
        <f t="shared" si="26"/>
        <v/>
      </c>
      <c r="BD22" s="17" t="str">
        <f t="shared" si="26"/>
        <v/>
      </c>
      <c r="BE22" s="17" t="str">
        <f t="shared" si="26"/>
        <v/>
      </c>
      <c r="BF22" s="17" t="str">
        <f t="shared" si="26"/>
        <v/>
      </c>
      <c r="BG22" s="17" t="str">
        <f t="shared" si="26"/>
        <v/>
      </c>
      <c r="BH22" s="17" t="str">
        <f t="shared" si="26"/>
        <v/>
      </c>
      <c r="BI22" s="17" t="str">
        <f t="shared" si="27"/>
        <v/>
      </c>
      <c r="BJ22" s="17" t="str">
        <f t="shared" si="27"/>
        <v/>
      </c>
      <c r="BK22" s="17" t="str">
        <f t="shared" si="27"/>
        <v/>
      </c>
      <c r="BL22" s="17" t="str">
        <f t="shared" si="27"/>
        <v/>
      </c>
      <c r="BM22" s="17" t="str">
        <f t="shared" si="27"/>
        <v/>
      </c>
      <c r="BN22" s="17" t="str">
        <f t="shared" si="27"/>
        <v/>
      </c>
      <c r="BO22" s="17" t="str">
        <f t="shared" si="27"/>
        <v/>
      </c>
      <c r="BP22" s="17" t="str">
        <f t="shared" si="27"/>
        <v/>
      </c>
      <c r="BQ22" s="17" t="str">
        <f t="shared" si="27"/>
        <v/>
      </c>
      <c r="BR22" s="17" t="str">
        <f t="shared" si="27"/>
        <v/>
      </c>
      <c r="BS22" s="17" t="str">
        <f t="shared" si="28"/>
        <v/>
      </c>
      <c r="BT22" s="17" t="str">
        <f t="shared" si="28"/>
        <v/>
      </c>
      <c r="BU22" s="17" t="str">
        <f t="shared" si="28"/>
        <v/>
      </c>
      <c r="BV22" s="17" t="str">
        <f t="shared" si="28"/>
        <v/>
      </c>
      <c r="BW22" s="17" t="str">
        <f t="shared" si="28"/>
        <v/>
      </c>
      <c r="BX22" s="17" t="str">
        <f t="shared" si="28"/>
        <v>R</v>
      </c>
      <c r="BY22" s="17" t="str">
        <f t="shared" si="28"/>
        <v>R</v>
      </c>
      <c r="BZ22" s="17" t="str">
        <f t="shared" si="28"/>
        <v>R</v>
      </c>
      <c r="CA22" s="17" t="str">
        <f t="shared" si="28"/>
        <v>R</v>
      </c>
      <c r="CB22" s="17" t="str">
        <f t="shared" si="28"/>
        <v>R</v>
      </c>
      <c r="CC22" s="17" t="str">
        <f t="shared" si="29"/>
        <v>R</v>
      </c>
      <c r="CD22" s="17" t="str">
        <f t="shared" si="29"/>
        <v>R</v>
      </c>
      <c r="CE22" s="17" t="str">
        <f t="shared" si="29"/>
        <v>R</v>
      </c>
      <c r="CF22" s="17" t="str">
        <f t="shared" si="29"/>
        <v>R</v>
      </c>
      <c r="CG22" s="17" t="str">
        <f t="shared" si="29"/>
        <v>R</v>
      </c>
      <c r="CH22" s="17" t="str">
        <f t="shared" si="29"/>
        <v>R</v>
      </c>
      <c r="CI22" s="17" t="str">
        <f t="shared" si="29"/>
        <v>R</v>
      </c>
      <c r="CJ22" s="17" t="str">
        <f t="shared" si="29"/>
        <v>R</v>
      </c>
      <c r="CK22" s="17" t="str">
        <f t="shared" si="29"/>
        <v>R</v>
      </c>
      <c r="CL22" s="17" t="str">
        <f t="shared" si="29"/>
        <v>R</v>
      </c>
      <c r="CM22" s="17" t="str">
        <f t="shared" si="30"/>
        <v>R</v>
      </c>
      <c r="CN22" s="17" t="str">
        <f t="shared" si="30"/>
        <v>P</v>
      </c>
      <c r="CO22" s="17" t="str">
        <f t="shared" si="30"/>
        <v>P</v>
      </c>
      <c r="CP22" s="17" t="str">
        <f t="shared" si="30"/>
        <v>T</v>
      </c>
      <c r="CQ22" s="17" t="str">
        <f t="shared" si="30"/>
        <v>T</v>
      </c>
      <c r="CR22" s="17" t="str">
        <f t="shared" si="30"/>
        <v>T</v>
      </c>
      <c r="CS22" s="17" t="str">
        <f t="shared" si="30"/>
        <v>T</v>
      </c>
      <c r="CT22" s="17" t="str">
        <f t="shared" si="30"/>
        <v/>
      </c>
      <c r="CU22" s="17" t="str">
        <f t="shared" si="30"/>
        <v/>
      </c>
      <c r="CV22" s="17" t="str">
        <f t="shared" si="30"/>
        <v/>
      </c>
      <c r="CW22" s="17" t="str">
        <f t="shared" si="31"/>
        <v/>
      </c>
      <c r="CX22" s="17" t="str">
        <f t="shared" si="31"/>
        <v/>
      </c>
      <c r="CY22" s="17" t="str">
        <f t="shared" si="31"/>
        <v/>
      </c>
      <c r="CZ22" s="17" t="str">
        <f t="shared" si="31"/>
        <v/>
      </c>
      <c r="DA22" s="17" t="str">
        <f t="shared" si="31"/>
        <v/>
      </c>
      <c r="DB22" s="17" t="str">
        <f t="shared" si="31"/>
        <v/>
      </c>
      <c r="DC22" s="17" t="str">
        <f t="shared" si="31"/>
        <v/>
      </c>
      <c r="DD22" s="17" t="str">
        <f t="shared" si="31"/>
        <v/>
      </c>
      <c r="DE22" s="17" t="str">
        <f t="shared" si="31"/>
        <v/>
      </c>
      <c r="DF22" s="17" t="str">
        <f t="shared" si="31"/>
        <v/>
      </c>
      <c r="DG22" s="17" t="str">
        <f t="shared" si="32"/>
        <v/>
      </c>
      <c r="DH22" s="17" t="str">
        <f t="shared" si="32"/>
        <v/>
      </c>
      <c r="DI22" s="17" t="str">
        <f t="shared" si="32"/>
        <v/>
      </c>
      <c r="DJ22" s="17" t="str">
        <f t="shared" si="32"/>
        <v/>
      </c>
      <c r="DK22" s="17" t="str">
        <f t="shared" si="32"/>
        <v/>
      </c>
      <c r="DL22" s="17" t="str">
        <f t="shared" si="32"/>
        <v/>
      </c>
      <c r="DM22" s="17" t="str">
        <f t="shared" si="32"/>
        <v/>
      </c>
      <c r="DN22" s="17" t="str">
        <f t="shared" si="32"/>
        <v/>
      </c>
      <c r="DO22" s="17" t="str">
        <f t="shared" si="32"/>
        <v/>
      </c>
      <c r="DP22" s="17" t="str">
        <f t="shared" si="32"/>
        <v/>
      </c>
      <c r="DQ22" s="17" t="str">
        <f t="shared" si="33"/>
        <v/>
      </c>
      <c r="DR22" s="17" t="str">
        <f t="shared" si="33"/>
        <v/>
      </c>
      <c r="DS22" s="17" t="str">
        <f t="shared" si="33"/>
        <v/>
      </c>
      <c r="DT22" s="17" t="str">
        <f t="shared" si="33"/>
        <v/>
      </c>
      <c r="DU22" s="17" t="str">
        <f t="shared" si="33"/>
        <v/>
      </c>
      <c r="DV22" s="17" t="str">
        <f t="shared" si="33"/>
        <v/>
      </c>
      <c r="DW22" s="17" t="str">
        <f t="shared" si="33"/>
        <v/>
      </c>
      <c r="DX22" s="17" t="str">
        <f t="shared" si="33"/>
        <v/>
      </c>
      <c r="DY22" s="17" t="str">
        <f t="shared" si="33"/>
        <v/>
      </c>
      <c r="DZ22" s="17" t="str">
        <f t="shared" si="33"/>
        <v/>
      </c>
      <c r="EA22" s="17" t="str">
        <f t="shared" si="34"/>
        <v/>
      </c>
      <c r="EB22" s="17" t="str">
        <f t="shared" si="34"/>
        <v/>
      </c>
      <c r="EC22" s="17" t="str">
        <f t="shared" si="34"/>
        <v/>
      </c>
      <c r="ED22" s="17" t="str">
        <f t="shared" si="34"/>
        <v/>
      </c>
      <c r="EE22" s="17" t="str">
        <f t="shared" si="34"/>
        <v/>
      </c>
      <c r="EF22" s="17" t="str">
        <f t="shared" si="34"/>
        <v/>
      </c>
      <c r="EG22" s="17" t="str">
        <f t="shared" si="34"/>
        <v/>
      </c>
      <c r="EH22" s="17" t="str">
        <f t="shared" si="34"/>
        <v/>
      </c>
      <c r="EI22" s="17" t="str">
        <f t="shared" si="34"/>
        <v/>
      </c>
      <c r="EJ22" s="17" t="str">
        <f t="shared" si="34"/>
        <v/>
      </c>
      <c r="EK22" s="17" t="str">
        <f t="shared" si="35"/>
        <v/>
      </c>
      <c r="EL22" s="17" t="str">
        <f t="shared" si="35"/>
        <v/>
      </c>
      <c r="EM22" s="17" t="str">
        <f t="shared" si="35"/>
        <v/>
      </c>
      <c r="EN22" s="17" t="str">
        <f t="shared" si="35"/>
        <v/>
      </c>
      <c r="EO22" s="17" t="str">
        <f t="shared" si="35"/>
        <v/>
      </c>
      <c r="EP22" s="17" t="str">
        <f t="shared" si="35"/>
        <v/>
      </c>
      <c r="EQ22" s="17" t="str">
        <f t="shared" si="35"/>
        <v/>
      </c>
      <c r="ER22" s="17" t="str">
        <f t="shared" si="35"/>
        <v/>
      </c>
      <c r="ES22" s="17" t="str">
        <f t="shared" si="35"/>
        <v/>
      </c>
      <c r="ET22" s="17" t="str">
        <f t="shared" si="35"/>
        <v/>
      </c>
      <c r="EU22" s="17" t="str">
        <f t="shared" si="36"/>
        <v/>
      </c>
      <c r="EV22" s="17" t="str">
        <f t="shared" si="36"/>
        <v/>
      </c>
      <c r="EW22" s="17" t="str">
        <f t="shared" si="36"/>
        <v/>
      </c>
      <c r="EX22" s="17" t="str">
        <f t="shared" si="36"/>
        <v/>
      </c>
      <c r="EY22" s="17" t="str">
        <f t="shared" si="36"/>
        <v/>
      </c>
      <c r="EZ22" s="17" t="str">
        <f t="shared" si="36"/>
        <v/>
      </c>
      <c r="FA22" s="17" t="str">
        <f t="shared" si="36"/>
        <v/>
      </c>
      <c r="FB22" s="17" t="str">
        <f t="shared" si="36"/>
        <v/>
      </c>
      <c r="FC22" s="17" t="str">
        <f t="shared" si="36"/>
        <v/>
      </c>
      <c r="FD22" s="17" t="str">
        <f t="shared" si="36"/>
        <v/>
      </c>
      <c r="FE22" s="17" t="str">
        <f t="shared" si="37"/>
        <v/>
      </c>
      <c r="FF22" s="17" t="str">
        <f t="shared" si="37"/>
        <v/>
      </c>
      <c r="FG22" s="17" t="str">
        <f t="shared" si="37"/>
        <v/>
      </c>
      <c r="FH22" s="17" t="str">
        <f t="shared" si="37"/>
        <v/>
      </c>
      <c r="FI22" s="17" t="str">
        <f t="shared" si="37"/>
        <v/>
      </c>
      <c r="FJ22" s="17" t="str">
        <f t="shared" si="37"/>
        <v/>
      </c>
      <c r="FK22" s="17" t="str">
        <f t="shared" si="37"/>
        <v/>
      </c>
      <c r="FL22" s="17" t="str">
        <f t="shared" si="37"/>
        <v/>
      </c>
      <c r="FM22" s="17" t="str">
        <f t="shared" si="37"/>
        <v/>
      </c>
      <c r="FN22" s="17" t="str">
        <f t="shared" si="37"/>
        <v/>
      </c>
      <c r="FO22" s="17" t="str">
        <f t="shared" si="38"/>
        <v/>
      </c>
      <c r="FP22" s="17" t="str">
        <f t="shared" si="38"/>
        <v/>
      </c>
      <c r="FQ22" s="17" t="str">
        <f t="shared" si="38"/>
        <v/>
      </c>
      <c r="FR22" s="17" t="str">
        <f t="shared" si="38"/>
        <v/>
      </c>
      <c r="FS22" s="17" t="str">
        <f t="shared" si="38"/>
        <v/>
      </c>
      <c r="FT22" s="17" t="str">
        <f t="shared" si="38"/>
        <v/>
      </c>
      <c r="FU22" s="17" t="str">
        <f t="shared" si="38"/>
        <v/>
      </c>
      <c r="FV22" s="17" t="str">
        <f t="shared" si="38"/>
        <v/>
      </c>
      <c r="FW22" s="17" t="str">
        <f t="shared" si="38"/>
        <v/>
      </c>
      <c r="FX22" s="17" t="str">
        <f t="shared" si="38"/>
        <v/>
      </c>
      <c r="FY22" s="17" t="str">
        <f t="shared" si="39"/>
        <v/>
      </c>
      <c r="FZ22" s="17" t="str">
        <f t="shared" si="39"/>
        <v/>
      </c>
      <c r="GA22" s="17" t="str">
        <f t="shared" si="39"/>
        <v/>
      </c>
      <c r="GB22" s="17" t="str">
        <f t="shared" si="39"/>
        <v/>
      </c>
      <c r="GC22" s="17" t="str">
        <f t="shared" si="39"/>
        <v/>
      </c>
      <c r="GD22" s="17" t="str">
        <f t="shared" si="39"/>
        <v/>
      </c>
      <c r="GE22" s="17" t="str">
        <f t="shared" si="39"/>
        <v/>
      </c>
      <c r="GF22" s="17" t="str">
        <f t="shared" si="39"/>
        <v/>
      </c>
      <c r="GG22" s="17" t="str">
        <f t="shared" si="39"/>
        <v/>
      </c>
      <c r="GH22" s="17" t="str">
        <f t="shared" si="39"/>
        <v/>
      </c>
      <c r="GI22" s="17" t="str">
        <f t="shared" si="40"/>
        <v/>
      </c>
      <c r="GJ22" s="17" t="str">
        <f t="shared" si="40"/>
        <v/>
      </c>
      <c r="GK22" s="17" t="str">
        <f t="shared" si="40"/>
        <v/>
      </c>
      <c r="GL22" s="17" t="str">
        <f t="shared" si="40"/>
        <v/>
      </c>
      <c r="GM22" s="17" t="str">
        <f t="shared" si="40"/>
        <v/>
      </c>
      <c r="GN22" s="17" t="str">
        <f t="shared" si="40"/>
        <v/>
      </c>
      <c r="GO22" s="17" t="str">
        <f t="shared" si="40"/>
        <v/>
      </c>
      <c r="GP22" s="17" t="str">
        <f t="shared" si="40"/>
        <v/>
      </c>
      <c r="GQ22" s="17" t="str">
        <f t="shared" si="40"/>
        <v/>
      </c>
      <c r="GR22" s="17" t="str">
        <f t="shared" si="40"/>
        <v/>
      </c>
      <c r="GS22" s="17" t="str">
        <f t="shared" si="41"/>
        <v/>
      </c>
      <c r="GT22" s="17" t="str">
        <f t="shared" si="41"/>
        <v/>
      </c>
      <c r="GU22" s="17" t="str">
        <f t="shared" si="41"/>
        <v/>
      </c>
      <c r="GV22" s="17" t="str">
        <f t="shared" si="41"/>
        <v/>
      </c>
      <c r="GW22" s="17" t="str">
        <f t="shared" si="41"/>
        <v/>
      </c>
      <c r="GX22" s="17" t="str">
        <f t="shared" si="41"/>
        <v/>
      </c>
      <c r="GY22" s="17" t="str">
        <f t="shared" si="41"/>
        <v/>
      </c>
      <c r="GZ22" s="17" t="str">
        <f t="shared" si="41"/>
        <v/>
      </c>
      <c r="HA22" s="17" t="str">
        <f t="shared" si="41"/>
        <v/>
      </c>
      <c r="HB22" s="17" t="str">
        <f t="shared" si="41"/>
        <v/>
      </c>
      <c r="HC22" s="17" t="str">
        <f t="shared" si="42"/>
        <v/>
      </c>
      <c r="HD22" s="17" t="str">
        <f t="shared" si="42"/>
        <v/>
      </c>
      <c r="HE22" s="17" t="str">
        <f t="shared" si="42"/>
        <v/>
      </c>
      <c r="HF22" s="17" t="str">
        <f t="shared" si="42"/>
        <v/>
      </c>
      <c r="HG22" s="17" t="str">
        <f t="shared" si="42"/>
        <v/>
      </c>
      <c r="HH22" s="17" t="str">
        <f t="shared" si="42"/>
        <v/>
      </c>
      <c r="HI22" s="17" t="str">
        <f t="shared" si="42"/>
        <v/>
      </c>
      <c r="HJ22" s="17" t="str">
        <f t="shared" si="42"/>
        <v/>
      </c>
      <c r="HK22" s="17" t="str">
        <f t="shared" si="42"/>
        <v/>
      </c>
      <c r="HL22" s="17" t="str">
        <f t="shared" si="42"/>
        <v/>
      </c>
      <c r="HM22" s="17" t="str">
        <f t="shared" si="43"/>
        <v/>
      </c>
      <c r="HN22" s="17" t="str">
        <f t="shared" si="43"/>
        <v/>
      </c>
      <c r="HO22" s="17" t="str">
        <f t="shared" si="43"/>
        <v/>
      </c>
      <c r="HP22" s="17" t="str">
        <f t="shared" si="43"/>
        <v/>
      </c>
      <c r="HQ22" s="17" t="str">
        <f t="shared" si="43"/>
        <v/>
      </c>
      <c r="HR22" s="17" t="str">
        <f t="shared" si="43"/>
        <v/>
      </c>
      <c r="HS22" s="17" t="str">
        <f t="shared" si="43"/>
        <v/>
      </c>
      <c r="HT22" s="17" t="str">
        <f t="shared" si="43"/>
        <v/>
      </c>
      <c r="HU22" s="17" t="str">
        <f t="shared" si="43"/>
        <v/>
      </c>
      <c r="HV22" s="17" t="str">
        <f t="shared" si="43"/>
        <v/>
      </c>
      <c r="HW22" s="17" t="str">
        <f t="shared" si="43"/>
        <v/>
      </c>
      <c r="HX22" s="17" t="str">
        <f t="shared" si="43"/>
        <v/>
      </c>
      <c r="HY22" s="17" t="str">
        <f t="shared" si="43"/>
        <v/>
      </c>
      <c r="HZ22" s="17" t="str">
        <f t="shared" si="43"/>
        <v/>
      </c>
      <c r="IA22" s="17" t="str">
        <f t="shared" si="43"/>
        <v/>
      </c>
    </row>
    <row r="23" spans="1:235" ht="25.95" customHeight="1" x14ac:dyDescent="0.3">
      <c r="A23" s="7">
        <v>18</v>
      </c>
      <c r="B23" s="7">
        <f>Premissas!$B$6</f>
        <v>6</v>
      </c>
      <c r="C23" s="7">
        <f>17*Premissas!$B$8</f>
        <v>206.06060606060609</v>
      </c>
      <c r="D23" s="7">
        <f>C23+Premissas!$B$9</f>
        <v>254.06060606060609</v>
      </c>
      <c r="E23" s="7">
        <f>C23+Premissas!$B$11</f>
        <v>260.06060606060612</v>
      </c>
      <c r="F23" s="7">
        <f>E23+Premissas!$B$8</f>
        <v>272.18181818181824</v>
      </c>
      <c r="G23" s="7">
        <f>Premissas!$B$11</f>
        <v>54</v>
      </c>
      <c r="H23" s="7">
        <f>Premissas!$B$12</f>
        <v>3</v>
      </c>
      <c r="I23" s="7" t="s">
        <v>47</v>
      </c>
      <c r="J23" s="8" t="s">
        <v>48</v>
      </c>
      <c r="K23" s="17" t="str">
        <f t="shared" si="22"/>
        <v/>
      </c>
      <c r="L23" s="17" t="str">
        <f t="shared" si="22"/>
        <v/>
      </c>
      <c r="M23" s="17" t="str">
        <f t="shared" si="22"/>
        <v/>
      </c>
      <c r="N23" s="17" t="str">
        <f t="shared" si="22"/>
        <v/>
      </c>
      <c r="O23" s="17" t="str">
        <f t="shared" si="22"/>
        <v/>
      </c>
      <c r="P23" s="17" t="str">
        <f t="shared" si="22"/>
        <v/>
      </c>
      <c r="Q23" s="17" t="str">
        <f t="shared" si="22"/>
        <v/>
      </c>
      <c r="R23" s="17" t="str">
        <f t="shared" si="22"/>
        <v/>
      </c>
      <c r="S23" s="17" t="str">
        <f t="shared" si="22"/>
        <v/>
      </c>
      <c r="T23" s="17" t="str">
        <f t="shared" si="22"/>
        <v/>
      </c>
      <c r="U23" s="17" t="str">
        <f t="shared" si="23"/>
        <v/>
      </c>
      <c r="V23" s="17" t="str">
        <f t="shared" si="23"/>
        <v/>
      </c>
      <c r="W23" s="17" t="str">
        <f t="shared" si="23"/>
        <v/>
      </c>
      <c r="X23" s="17" t="str">
        <f t="shared" si="23"/>
        <v/>
      </c>
      <c r="Y23" s="17" t="str">
        <f t="shared" si="23"/>
        <v/>
      </c>
      <c r="Z23" s="17" t="str">
        <f t="shared" si="23"/>
        <v/>
      </c>
      <c r="AA23" s="17" t="str">
        <f t="shared" si="23"/>
        <v/>
      </c>
      <c r="AB23" s="17" t="str">
        <f t="shared" si="23"/>
        <v/>
      </c>
      <c r="AC23" s="17" t="str">
        <f t="shared" si="23"/>
        <v/>
      </c>
      <c r="AD23" s="17" t="str">
        <f t="shared" si="23"/>
        <v/>
      </c>
      <c r="AE23" s="17" t="str">
        <f t="shared" si="24"/>
        <v/>
      </c>
      <c r="AF23" s="17" t="str">
        <f t="shared" si="24"/>
        <v/>
      </c>
      <c r="AG23" s="17" t="str">
        <f t="shared" si="24"/>
        <v/>
      </c>
      <c r="AH23" s="17" t="str">
        <f t="shared" si="24"/>
        <v/>
      </c>
      <c r="AI23" s="17" t="str">
        <f t="shared" si="24"/>
        <v/>
      </c>
      <c r="AJ23" s="17" t="str">
        <f t="shared" si="24"/>
        <v/>
      </c>
      <c r="AK23" s="17" t="str">
        <f t="shared" si="24"/>
        <v/>
      </c>
      <c r="AL23" s="17" t="str">
        <f t="shared" si="24"/>
        <v/>
      </c>
      <c r="AM23" s="17" t="str">
        <f t="shared" si="24"/>
        <v/>
      </c>
      <c r="AN23" s="17" t="str">
        <f t="shared" si="24"/>
        <v/>
      </c>
      <c r="AO23" s="17" t="str">
        <f t="shared" si="25"/>
        <v/>
      </c>
      <c r="AP23" s="17" t="str">
        <f t="shared" si="25"/>
        <v/>
      </c>
      <c r="AQ23" s="17" t="str">
        <f t="shared" si="25"/>
        <v/>
      </c>
      <c r="AR23" s="17" t="str">
        <f t="shared" si="25"/>
        <v/>
      </c>
      <c r="AS23" s="17" t="str">
        <f t="shared" si="25"/>
        <v/>
      </c>
      <c r="AT23" s="17" t="str">
        <f t="shared" si="25"/>
        <v/>
      </c>
      <c r="AU23" s="17" t="str">
        <f t="shared" si="25"/>
        <v/>
      </c>
      <c r="AV23" s="17" t="str">
        <f t="shared" si="25"/>
        <v/>
      </c>
      <c r="AW23" s="17" t="str">
        <f t="shared" si="25"/>
        <v/>
      </c>
      <c r="AX23" s="17" t="str">
        <f t="shared" si="25"/>
        <v/>
      </c>
      <c r="AY23" s="17" t="str">
        <f t="shared" si="26"/>
        <v/>
      </c>
      <c r="AZ23" s="17" t="str">
        <f t="shared" si="26"/>
        <v/>
      </c>
      <c r="BA23" s="17" t="str">
        <f t="shared" si="26"/>
        <v/>
      </c>
      <c r="BB23" s="17" t="str">
        <f t="shared" si="26"/>
        <v/>
      </c>
      <c r="BC23" s="17" t="str">
        <f t="shared" si="26"/>
        <v/>
      </c>
      <c r="BD23" s="17" t="str">
        <f t="shared" si="26"/>
        <v/>
      </c>
      <c r="BE23" s="17" t="str">
        <f t="shared" si="26"/>
        <v/>
      </c>
      <c r="BF23" s="17" t="str">
        <f t="shared" si="26"/>
        <v/>
      </c>
      <c r="BG23" s="17" t="str">
        <f t="shared" si="26"/>
        <v/>
      </c>
      <c r="BH23" s="17" t="str">
        <f t="shared" si="26"/>
        <v/>
      </c>
      <c r="BI23" s="17" t="str">
        <f t="shared" si="27"/>
        <v/>
      </c>
      <c r="BJ23" s="17" t="str">
        <f t="shared" si="27"/>
        <v/>
      </c>
      <c r="BK23" s="17" t="str">
        <f t="shared" si="27"/>
        <v/>
      </c>
      <c r="BL23" s="17" t="str">
        <f t="shared" si="27"/>
        <v/>
      </c>
      <c r="BM23" s="17" t="str">
        <f t="shared" si="27"/>
        <v/>
      </c>
      <c r="BN23" s="17" t="str">
        <f t="shared" si="27"/>
        <v/>
      </c>
      <c r="BO23" s="17" t="str">
        <f t="shared" si="27"/>
        <v/>
      </c>
      <c r="BP23" s="17" t="str">
        <f t="shared" si="27"/>
        <v/>
      </c>
      <c r="BQ23" s="17" t="str">
        <f t="shared" si="27"/>
        <v/>
      </c>
      <c r="BR23" s="17" t="str">
        <f t="shared" si="27"/>
        <v/>
      </c>
      <c r="BS23" s="17" t="str">
        <f t="shared" si="28"/>
        <v/>
      </c>
      <c r="BT23" s="17" t="str">
        <f t="shared" si="28"/>
        <v/>
      </c>
      <c r="BU23" s="17" t="str">
        <f t="shared" si="28"/>
        <v/>
      </c>
      <c r="BV23" s="17" t="str">
        <f t="shared" si="28"/>
        <v/>
      </c>
      <c r="BW23" s="17" t="str">
        <f t="shared" si="28"/>
        <v/>
      </c>
      <c r="BX23" s="17" t="str">
        <f t="shared" si="28"/>
        <v/>
      </c>
      <c r="BY23" s="17" t="str">
        <f t="shared" si="28"/>
        <v/>
      </c>
      <c r="BZ23" s="17" t="str">
        <f t="shared" si="28"/>
        <v/>
      </c>
      <c r="CA23" s="17" t="str">
        <f t="shared" si="28"/>
        <v/>
      </c>
      <c r="CB23" s="17" t="str">
        <f t="shared" si="28"/>
        <v>R</v>
      </c>
      <c r="CC23" s="17" t="str">
        <f t="shared" si="29"/>
        <v>R</v>
      </c>
      <c r="CD23" s="17" t="str">
        <f t="shared" si="29"/>
        <v>R</v>
      </c>
      <c r="CE23" s="17" t="str">
        <f t="shared" si="29"/>
        <v>R</v>
      </c>
      <c r="CF23" s="17" t="str">
        <f t="shared" si="29"/>
        <v>R</v>
      </c>
      <c r="CG23" s="17" t="str">
        <f t="shared" si="29"/>
        <v>R</v>
      </c>
      <c r="CH23" s="17" t="str">
        <f t="shared" si="29"/>
        <v>R</v>
      </c>
      <c r="CI23" s="17" t="str">
        <f t="shared" si="29"/>
        <v>R</v>
      </c>
      <c r="CJ23" s="17" t="str">
        <f t="shared" si="29"/>
        <v>R</v>
      </c>
      <c r="CK23" s="17" t="str">
        <f t="shared" si="29"/>
        <v>R</v>
      </c>
      <c r="CL23" s="17" t="str">
        <f t="shared" si="29"/>
        <v>R</v>
      </c>
      <c r="CM23" s="17" t="str">
        <f t="shared" si="30"/>
        <v>R</v>
      </c>
      <c r="CN23" s="17" t="str">
        <f t="shared" si="30"/>
        <v>R</v>
      </c>
      <c r="CO23" s="17" t="str">
        <f t="shared" si="30"/>
        <v>R</v>
      </c>
      <c r="CP23" s="17" t="str">
        <f t="shared" si="30"/>
        <v>R</v>
      </c>
      <c r="CQ23" s="17" t="str">
        <f t="shared" si="30"/>
        <v>R</v>
      </c>
      <c r="CR23" s="17" t="str">
        <f t="shared" si="30"/>
        <v>P</v>
      </c>
      <c r="CS23" s="17" t="str">
        <f t="shared" si="30"/>
        <v>P</v>
      </c>
      <c r="CT23" s="17" t="str">
        <f t="shared" si="30"/>
        <v>T</v>
      </c>
      <c r="CU23" s="17" t="str">
        <f t="shared" si="30"/>
        <v>T</v>
      </c>
      <c r="CV23" s="17" t="str">
        <f t="shared" si="30"/>
        <v>T</v>
      </c>
      <c r="CW23" s="17" t="str">
        <f t="shared" si="31"/>
        <v>T</v>
      </c>
      <c r="CX23" s="17" t="str">
        <f t="shared" si="31"/>
        <v/>
      </c>
      <c r="CY23" s="17" t="str">
        <f t="shared" si="31"/>
        <v/>
      </c>
      <c r="CZ23" s="17" t="str">
        <f t="shared" si="31"/>
        <v/>
      </c>
      <c r="DA23" s="17" t="str">
        <f t="shared" si="31"/>
        <v/>
      </c>
      <c r="DB23" s="17" t="str">
        <f t="shared" si="31"/>
        <v/>
      </c>
      <c r="DC23" s="17" t="str">
        <f t="shared" si="31"/>
        <v/>
      </c>
      <c r="DD23" s="17" t="str">
        <f t="shared" si="31"/>
        <v/>
      </c>
      <c r="DE23" s="17" t="str">
        <f t="shared" si="31"/>
        <v/>
      </c>
      <c r="DF23" s="17" t="str">
        <f t="shared" si="31"/>
        <v/>
      </c>
      <c r="DG23" s="17" t="str">
        <f t="shared" si="32"/>
        <v/>
      </c>
      <c r="DH23" s="17" t="str">
        <f t="shared" si="32"/>
        <v/>
      </c>
      <c r="DI23" s="17" t="str">
        <f t="shared" si="32"/>
        <v/>
      </c>
      <c r="DJ23" s="17" t="str">
        <f t="shared" si="32"/>
        <v/>
      </c>
      <c r="DK23" s="17" t="str">
        <f t="shared" si="32"/>
        <v/>
      </c>
      <c r="DL23" s="17" t="str">
        <f t="shared" si="32"/>
        <v/>
      </c>
      <c r="DM23" s="17" t="str">
        <f t="shared" si="32"/>
        <v/>
      </c>
      <c r="DN23" s="17" t="str">
        <f t="shared" si="32"/>
        <v/>
      </c>
      <c r="DO23" s="17" t="str">
        <f t="shared" si="32"/>
        <v/>
      </c>
      <c r="DP23" s="17" t="str">
        <f t="shared" si="32"/>
        <v/>
      </c>
      <c r="DQ23" s="17" t="str">
        <f t="shared" si="33"/>
        <v/>
      </c>
      <c r="DR23" s="17" t="str">
        <f t="shared" si="33"/>
        <v/>
      </c>
      <c r="DS23" s="17" t="str">
        <f t="shared" si="33"/>
        <v/>
      </c>
      <c r="DT23" s="17" t="str">
        <f t="shared" si="33"/>
        <v/>
      </c>
      <c r="DU23" s="17" t="str">
        <f t="shared" si="33"/>
        <v/>
      </c>
      <c r="DV23" s="17" t="str">
        <f t="shared" si="33"/>
        <v/>
      </c>
      <c r="DW23" s="17" t="str">
        <f t="shared" si="33"/>
        <v/>
      </c>
      <c r="DX23" s="17" t="str">
        <f t="shared" si="33"/>
        <v/>
      </c>
      <c r="DY23" s="17" t="str">
        <f t="shared" si="33"/>
        <v/>
      </c>
      <c r="DZ23" s="17" t="str">
        <f t="shared" si="33"/>
        <v/>
      </c>
      <c r="EA23" s="17" t="str">
        <f t="shared" si="34"/>
        <v/>
      </c>
      <c r="EB23" s="17" t="str">
        <f t="shared" si="34"/>
        <v/>
      </c>
      <c r="EC23" s="17" t="str">
        <f t="shared" si="34"/>
        <v/>
      </c>
      <c r="ED23" s="17" t="str">
        <f t="shared" si="34"/>
        <v/>
      </c>
      <c r="EE23" s="17" t="str">
        <f t="shared" si="34"/>
        <v/>
      </c>
      <c r="EF23" s="17" t="str">
        <f t="shared" si="34"/>
        <v/>
      </c>
      <c r="EG23" s="17" t="str">
        <f t="shared" si="34"/>
        <v/>
      </c>
      <c r="EH23" s="17" t="str">
        <f t="shared" si="34"/>
        <v/>
      </c>
      <c r="EI23" s="17" t="str">
        <f t="shared" si="34"/>
        <v/>
      </c>
      <c r="EJ23" s="17" t="str">
        <f t="shared" si="34"/>
        <v/>
      </c>
      <c r="EK23" s="17" t="str">
        <f t="shared" si="35"/>
        <v/>
      </c>
      <c r="EL23" s="17" t="str">
        <f t="shared" si="35"/>
        <v/>
      </c>
      <c r="EM23" s="17" t="str">
        <f t="shared" si="35"/>
        <v/>
      </c>
      <c r="EN23" s="17" t="str">
        <f t="shared" si="35"/>
        <v/>
      </c>
      <c r="EO23" s="17" t="str">
        <f t="shared" si="35"/>
        <v/>
      </c>
      <c r="EP23" s="17" t="str">
        <f t="shared" si="35"/>
        <v/>
      </c>
      <c r="EQ23" s="17" t="str">
        <f t="shared" si="35"/>
        <v/>
      </c>
      <c r="ER23" s="17" t="str">
        <f t="shared" si="35"/>
        <v/>
      </c>
      <c r="ES23" s="17" t="str">
        <f t="shared" si="35"/>
        <v/>
      </c>
      <c r="ET23" s="17" t="str">
        <f t="shared" si="35"/>
        <v/>
      </c>
      <c r="EU23" s="17" t="str">
        <f t="shared" si="36"/>
        <v/>
      </c>
      <c r="EV23" s="17" t="str">
        <f t="shared" si="36"/>
        <v/>
      </c>
      <c r="EW23" s="17" t="str">
        <f t="shared" si="36"/>
        <v/>
      </c>
      <c r="EX23" s="17" t="str">
        <f t="shared" si="36"/>
        <v/>
      </c>
      <c r="EY23" s="17" t="str">
        <f t="shared" si="36"/>
        <v/>
      </c>
      <c r="EZ23" s="17" t="str">
        <f t="shared" si="36"/>
        <v/>
      </c>
      <c r="FA23" s="17" t="str">
        <f t="shared" si="36"/>
        <v/>
      </c>
      <c r="FB23" s="17" t="str">
        <f t="shared" si="36"/>
        <v/>
      </c>
      <c r="FC23" s="17" t="str">
        <f t="shared" si="36"/>
        <v/>
      </c>
      <c r="FD23" s="17" t="str">
        <f t="shared" si="36"/>
        <v/>
      </c>
      <c r="FE23" s="17" t="str">
        <f t="shared" si="37"/>
        <v/>
      </c>
      <c r="FF23" s="17" t="str">
        <f t="shared" si="37"/>
        <v/>
      </c>
      <c r="FG23" s="17" t="str">
        <f t="shared" si="37"/>
        <v/>
      </c>
      <c r="FH23" s="17" t="str">
        <f t="shared" si="37"/>
        <v/>
      </c>
      <c r="FI23" s="17" t="str">
        <f t="shared" si="37"/>
        <v/>
      </c>
      <c r="FJ23" s="17" t="str">
        <f t="shared" si="37"/>
        <v/>
      </c>
      <c r="FK23" s="17" t="str">
        <f t="shared" si="37"/>
        <v/>
      </c>
      <c r="FL23" s="17" t="str">
        <f t="shared" si="37"/>
        <v/>
      </c>
      <c r="FM23" s="17" t="str">
        <f t="shared" si="37"/>
        <v/>
      </c>
      <c r="FN23" s="17" t="str">
        <f t="shared" si="37"/>
        <v/>
      </c>
      <c r="FO23" s="17" t="str">
        <f t="shared" si="38"/>
        <v/>
      </c>
      <c r="FP23" s="17" t="str">
        <f t="shared" si="38"/>
        <v/>
      </c>
      <c r="FQ23" s="17" t="str">
        <f t="shared" si="38"/>
        <v/>
      </c>
      <c r="FR23" s="17" t="str">
        <f t="shared" si="38"/>
        <v/>
      </c>
      <c r="FS23" s="17" t="str">
        <f t="shared" si="38"/>
        <v/>
      </c>
      <c r="FT23" s="17" t="str">
        <f t="shared" si="38"/>
        <v/>
      </c>
      <c r="FU23" s="17" t="str">
        <f t="shared" si="38"/>
        <v/>
      </c>
      <c r="FV23" s="17" t="str">
        <f t="shared" si="38"/>
        <v/>
      </c>
      <c r="FW23" s="17" t="str">
        <f t="shared" si="38"/>
        <v/>
      </c>
      <c r="FX23" s="17" t="str">
        <f t="shared" si="38"/>
        <v/>
      </c>
      <c r="FY23" s="17" t="str">
        <f t="shared" si="39"/>
        <v/>
      </c>
      <c r="FZ23" s="17" t="str">
        <f t="shared" si="39"/>
        <v/>
      </c>
      <c r="GA23" s="17" t="str">
        <f t="shared" si="39"/>
        <v/>
      </c>
      <c r="GB23" s="17" t="str">
        <f t="shared" si="39"/>
        <v/>
      </c>
      <c r="GC23" s="17" t="str">
        <f t="shared" si="39"/>
        <v/>
      </c>
      <c r="GD23" s="17" t="str">
        <f t="shared" si="39"/>
        <v/>
      </c>
      <c r="GE23" s="17" t="str">
        <f t="shared" si="39"/>
        <v/>
      </c>
      <c r="GF23" s="17" t="str">
        <f t="shared" si="39"/>
        <v/>
      </c>
      <c r="GG23" s="17" t="str">
        <f t="shared" si="39"/>
        <v/>
      </c>
      <c r="GH23" s="17" t="str">
        <f t="shared" si="39"/>
        <v/>
      </c>
      <c r="GI23" s="17" t="str">
        <f t="shared" si="40"/>
        <v/>
      </c>
      <c r="GJ23" s="17" t="str">
        <f t="shared" si="40"/>
        <v/>
      </c>
      <c r="GK23" s="17" t="str">
        <f t="shared" si="40"/>
        <v/>
      </c>
      <c r="GL23" s="17" t="str">
        <f t="shared" si="40"/>
        <v/>
      </c>
      <c r="GM23" s="17" t="str">
        <f t="shared" si="40"/>
        <v/>
      </c>
      <c r="GN23" s="17" t="str">
        <f t="shared" si="40"/>
        <v/>
      </c>
      <c r="GO23" s="17" t="str">
        <f t="shared" si="40"/>
        <v/>
      </c>
      <c r="GP23" s="17" t="str">
        <f t="shared" si="40"/>
        <v/>
      </c>
      <c r="GQ23" s="17" t="str">
        <f t="shared" si="40"/>
        <v/>
      </c>
      <c r="GR23" s="17" t="str">
        <f t="shared" si="40"/>
        <v/>
      </c>
      <c r="GS23" s="17" t="str">
        <f t="shared" si="41"/>
        <v/>
      </c>
      <c r="GT23" s="17" t="str">
        <f t="shared" si="41"/>
        <v/>
      </c>
      <c r="GU23" s="17" t="str">
        <f t="shared" si="41"/>
        <v/>
      </c>
      <c r="GV23" s="17" t="str">
        <f t="shared" si="41"/>
        <v/>
      </c>
      <c r="GW23" s="17" t="str">
        <f t="shared" si="41"/>
        <v/>
      </c>
      <c r="GX23" s="17" t="str">
        <f t="shared" si="41"/>
        <v/>
      </c>
      <c r="GY23" s="17" t="str">
        <f t="shared" si="41"/>
        <v/>
      </c>
      <c r="GZ23" s="17" t="str">
        <f t="shared" si="41"/>
        <v/>
      </c>
      <c r="HA23" s="17" t="str">
        <f t="shared" si="41"/>
        <v/>
      </c>
      <c r="HB23" s="17" t="str">
        <f t="shared" si="41"/>
        <v/>
      </c>
      <c r="HC23" s="17" t="str">
        <f t="shared" si="42"/>
        <v/>
      </c>
      <c r="HD23" s="17" t="str">
        <f t="shared" si="42"/>
        <v/>
      </c>
      <c r="HE23" s="17" t="str">
        <f t="shared" si="42"/>
        <v/>
      </c>
      <c r="HF23" s="17" t="str">
        <f t="shared" si="42"/>
        <v/>
      </c>
      <c r="HG23" s="17" t="str">
        <f t="shared" si="42"/>
        <v/>
      </c>
      <c r="HH23" s="17" t="str">
        <f t="shared" si="42"/>
        <v/>
      </c>
      <c r="HI23" s="17" t="str">
        <f t="shared" si="42"/>
        <v/>
      </c>
      <c r="HJ23" s="17" t="str">
        <f t="shared" si="42"/>
        <v/>
      </c>
      <c r="HK23" s="17" t="str">
        <f t="shared" si="42"/>
        <v/>
      </c>
      <c r="HL23" s="17" t="str">
        <f t="shared" si="42"/>
        <v/>
      </c>
      <c r="HM23" s="17" t="str">
        <f t="shared" si="43"/>
        <v/>
      </c>
      <c r="HN23" s="17" t="str">
        <f t="shared" si="43"/>
        <v/>
      </c>
      <c r="HO23" s="17" t="str">
        <f t="shared" si="43"/>
        <v/>
      </c>
      <c r="HP23" s="17" t="str">
        <f t="shared" si="43"/>
        <v/>
      </c>
      <c r="HQ23" s="17" t="str">
        <f t="shared" si="43"/>
        <v/>
      </c>
      <c r="HR23" s="17" t="str">
        <f t="shared" si="43"/>
        <v/>
      </c>
      <c r="HS23" s="17" t="str">
        <f t="shared" si="43"/>
        <v/>
      </c>
      <c r="HT23" s="17" t="str">
        <f t="shared" si="43"/>
        <v/>
      </c>
      <c r="HU23" s="17" t="str">
        <f t="shared" si="43"/>
        <v/>
      </c>
      <c r="HV23" s="17" t="str">
        <f t="shared" si="43"/>
        <v/>
      </c>
      <c r="HW23" s="17" t="str">
        <f t="shared" si="43"/>
        <v/>
      </c>
      <c r="HX23" s="17" t="str">
        <f t="shared" si="43"/>
        <v/>
      </c>
      <c r="HY23" s="17" t="str">
        <f t="shared" si="43"/>
        <v/>
      </c>
      <c r="HZ23" s="17" t="str">
        <f t="shared" si="43"/>
        <v/>
      </c>
      <c r="IA23" s="17" t="str">
        <f t="shared" si="43"/>
        <v/>
      </c>
    </row>
    <row r="24" spans="1:235" ht="25.95" customHeight="1" x14ac:dyDescent="0.3">
      <c r="A24" s="7">
        <v>19</v>
      </c>
      <c r="B24" s="7">
        <f>Premissas!$B$6</f>
        <v>6</v>
      </c>
      <c r="C24" s="7">
        <f>18*Premissas!$B$8</f>
        <v>218.18181818181822</v>
      </c>
      <c r="D24" s="7">
        <f>C24+Premissas!$B$9</f>
        <v>266.18181818181824</v>
      </c>
      <c r="E24" s="7">
        <f>C24+Premissas!$B$11</f>
        <v>272.18181818181824</v>
      </c>
      <c r="F24" s="7">
        <f>E24+Premissas!$B$8</f>
        <v>284.30303030303037</v>
      </c>
      <c r="G24" s="7">
        <f>Premissas!$B$11</f>
        <v>54</v>
      </c>
      <c r="H24" s="7">
        <f>Premissas!$B$12</f>
        <v>3</v>
      </c>
      <c r="I24" s="7" t="s">
        <v>47</v>
      </c>
      <c r="J24" s="8" t="s">
        <v>48</v>
      </c>
      <c r="K24" s="17" t="str">
        <f t="shared" si="22"/>
        <v/>
      </c>
      <c r="L24" s="17" t="str">
        <f t="shared" si="22"/>
        <v/>
      </c>
      <c r="M24" s="17" t="str">
        <f t="shared" si="22"/>
        <v/>
      </c>
      <c r="N24" s="17" t="str">
        <f t="shared" si="22"/>
        <v/>
      </c>
      <c r="O24" s="17" t="str">
        <f t="shared" si="22"/>
        <v/>
      </c>
      <c r="P24" s="17" t="str">
        <f t="shared" si="22"/>
        <v/>
      </c>
      <c r="Q24" s="17" t="str">
        <f t="shared" si="22"/>
        <v/>
      </c>
      <c r="R24" s="17" t="str">
        <f t="shared" si="22"/>
        <v/>
      </c>
      <c r="S24" s="17" t="str">
        <f t="shared" si="22"/>
        <v/>
      </c>
      <c r="T24" s="17" t="str">
        <f t="shared" si="22"/>
        <v/>
      </c>
      <c r="U24" s="17" t="str">
        <f t="shared" si="23"/>
        <v/>
      </c>
      <c r="V24" s="17" t="str">
        <f t="shared" si="23"/>
        <v/>
      </c>
      <c r="W24" s="17" t="str">
        <f t="shared" si="23"/>
        <v/>
      </c>
      <c r="X24" s="17" t="str">
        <f t="shared" si="23"/>
        <v/>
      </c>
      <c r="Y24" s="17" t="str">
        <f t="shared" si="23"/>
        <v/>
      </c>
      <c r="Z24" s="17" t="str">
        <f t="shared" si="23"/>
        <v/>
      </c>
      <c r="AA24" s="17" t="str">
        <f t="shared" si="23"/>
        <v/>
      </c>
      <c r="AB24" s="17" t="str">
        <f t="shared" si="23"/>
        <v/>
      </c>
      <c r="AC24" s="17" t="str">
        <f t="shared" si="23"/>
        <v/>
      </c>
      <c r="AD24" s="17" t="str">
        <f t="shared" si="23"/>
        <v/>
      </c>
      <c r="AE24" s="17" t="str">
        <f t="shared" si="24"/>
        <v/>
      </c>
      <c r="AF24" s="17" t="str">
        <f t="shared" si="24"/>
        <v/>
      </c>
      <c r="AG24" s="17" t="str">
        <f t="shared" si="24"/>
        <v/>
      </c>
      <c r="AH24" s="17" t="str">
        <f t="shared" si="24"/>
        <v/>
      </c>
      <c r="AI24" s="17" t="str">
        <f t="shared" si="24"/>
        <v/>
      </c>
      <c r="AJ24" s="17" t="str">
        <f t="shared" si="24"/>
        <v/>
      </c>
      <c r="AK24" s="17" t="str">
        <f t="shared" si="24"/>
        <v/>
      </c>
      <c r="AL24" s="17" t="str">
        <f t="shared" si="24"/>
        <v/>
      </c>
      <c r="AM24" s="17" t="str">
        <f t="shared" si="24"/>
        <v/>
      </c>
      <c r="AN24" s="17" t="str">
        <f t="shared" si="24"/>
        <v/>
      </c>
      <c r="AO24" s="17" t="str">
        <f t="shared" si="25"/>
        <v/>
      </c>
      <c r="AP24" s="17" t="str">
        <f t="shared" si="25"/>
        <v/>
      </c>
      <c r="AQ24" s="17" t="str">
        <f t="shared" si="25"/>
        <v/>
      </c>
      <c r="AR24" s="17" t="str">
        <f t="shared" si="25"/>
        <v/>
      </c>
      <c r="AS24" s="17" t="str">
        <f t="shared" si="25"/>
        <v/>
      </c>
      <c r="AT24" s="17" t="str">
        <f t="shared" si="25"/>
        <v/>
      </c>
      <c r="AU24" s="17" t="str">
        <f t="shared" si="25"/>
        <v/>
      </c>
      <c r="AV24" s="17" t="str">
        <f t="shared" si="25"/>
        <v/>
      </c>
      <c r="AW24" s="17" t="str">
        <f t="shared" si="25"/>
        <v/>
      </c>
      <c r="AX24" s="17" t="str">
        <f t="shared" si="25"/>
        <v/>
      </c>
      <c r="AY24" s="17" t="str">
        <f t="shared" si="26"/>
        <v/>
      </c>
      <c r="AZ24" s="17" t="str">
        <f t="shared" si="26"/>
        <v/>
      </c>
      <c r="BA24" s="17" t="str">
        <f t="shared" si="26"/>
        <v/>
      </c>
      <c r="BB24" s="17" t="str">
        <f t="shared" si="26"/>
        <v/>
      </c>
      <c r="BC24" s="17" t="str">
        <f t="shared" si="26"/>
        <v/>
      </c>
      <c r="BD24" s="17" t="str">
        <f t="shared" si="26"/>
        <v/>
      </c>
      <c r="BE24" s="17" t="str">
        <f t="shared" si="26"/>
        <v/>
      </c>
      <c r="BF24" s="17" t="str">
        <f t="shared" si="26"/>
        <v/>
      </c>
      <c r="BG24" s="17" t="str">
        <f t="shared" si="26"/>
        <v/>
      </c>
      <c r="BH24" s="17" t="str">
        <f t="shared" si="26"/>
        <v/>
      </c>
      <c r="BI24" s="17" t="str">
        <f t="shared" si="27"/>
        <v/>
      </c>
      <c r="BJ24" s="17" t="str">
        <f t="shared" si="27"/>
        <v/>
      </c>
      <c r="BK24" s="17" t="str">
        <f t="shared" si="27"/>
        <v/>
      </c>
      <c r="BL24" s="17" t="str">
        <f t="shared" si="27"/>
        <v/>
      </c>
      <c r="BM24" s="17" t="str">
        <f t="shared" si="27"/>
        <v/>
      </c>
      <c r="BN24" s="17" t="str">
        <f t="shared" si="27"/>
        <v/>
      </c>
      <c r="BO24" s="17" t="str">
        <f t="shared" si="27"/>
        <v/>
      </c>
      <c r="BP24" s="17" t="str">
        <f t="shared" si="27"/>
        <v/>
      </c>
      <c r="BQ24" s="17" t="str">
        <f t="shared" si="27"/>
        <v/>
      </c>
      <c r="BR24" s="17" t="str">
        <f t="shared" si="27"/>
        <v/>
      </c>
      <c r="BS24" s="17" t="str">
        <f t="shared" si="28"/>
        <v/>
      </c>
      <c r="BT24" s="17" t="str">
        <f t="shared" si="28"/>
        <v/>
      </c>
      <c r="BU24" s="17" t="str">
        <f t="shared" si="28"/>
        <v/>
      </c>
      <c r="BV24" s="17" t="str">
        <f t="shared" si="28"/>
        <v/>
      </c>
      <c r="BW24" s="17" t="str">
        <f t="shared" si="28"/>
        <v/>
      </c>
      <c r="BX24" s="17" t="str">
        <f t="shared" si="28"/>
        <v/>
      </c>
      <c r="BY24" s="17" t="str">
        <f t="shared" si="28"/>
        <v/>
      </c>
      <c r="BZ24" s="17" t="str">
        <f t="shared" si="28"/>
        <v/>
      </c>
      <c r="CA24" s="17" t="str">
        <f t="shared" si="28"/>
        <v/>
      </c>
      <c r="CB24" s="17" t="str">
        <f t="shared" si="28"/>
        <v/>
      </c>
      <c r="CC24" s="17" t="str">
        <f t="shared" si="29"/>
        <v/>
      </c>
      <c r="CD24" s="17" t="str">
        <f t="shared" si="29"/>
        <v/>
      </c>
      <c r="CE24" s="17" t="str">
        <f t="shared" si="29"/>
        <v/>
      </c>
      <c r="CF24" s="17" t="str">
        <f t="shared" si="29"/>
        <v>R</v>
      </c>
      <c r="CG24" s="17" t="str">
        <f t="shared" si="29"/>
        <v>R</v>
      </c>
      <c r="CH24" s="17" t="str">
        <f t="shared" si="29"/>
        <v>R</v>
      </c>
      <c r="CI24" s="17" t="str">
        <f t="shared" si="29"/>
        <v>R</v>
      </c>
      <c r="CJ24" s="17" t="str">
        <f t="shared" si="29"/>
        <v>R</v>
      </c>
      <c r="CK24" s="17" t="str">
        <f t="shared" si="29"/>
        <v>R</v>
      </c>
      <c r="CL24" s="17" t="str">
        <f t="shared" si="29"/>
        <v>R</v>
      </c>
      <c r="CM24" s="17" t="str">
        <f t="shared" si="30"/>
        <v>R</v>
      </c>
      <c r="CN24" s="17" t="str">
        <f t="shared" si="30"/>
        <v>R</v>
      </c>
      <c r="CO24" s="17" t="str">
        <f t="shared" si="30"/>
        <v>R</v>
      </c>
      <c r="CP24" s="17" t="str">
        <f t="shared" si="30"/>
        <v>R</v>
      </c>
      <c r="CQ24" s="17" t="str">
        <f t="shared" si="30"/>
        <v>R</v>
      </c>
      <c r="CR24" s="17" t="str">
        <f t="shared" si="30"/>
        <v>R</v>
      </c>
      <c r="CS24" s="17" t="str">
        <f t="shared" si="30"/>
        <v>R</v>
      </c>
      <c r="CT24" s="17" t="str">
        <f t="shared" si="30"/>
        <v>R</v>
      </c>
      <c r="CU24" s="17" t="str">
        <f t="shared" si="30"/>
        <v>R</v>
      </c>
      <c r="CV24" s="17" t="str">
        <f t="shared" si="30"/>
        <v>P</v>
      </c>
      <c r="CW24" s="17" t="str">
        <f t="shared" si="31"/>
        <v>P</v>
      </c>
      <c r="CX24" s="17" t="str">
        <f t="shared" si="31"/>
        <v>T</v>
      </c>
      <c r="CY24" s="17" t="str">
        <f t="shared" si="31"/>
        <v>T</v>
      </c>
      <c r="CZ24" s="17" t="str">
        <f t="shared" si="31"/>
        <v>T</v>
      </c>
      <c r="DA24" s="17" t="str">
        <f t="shared" si="31"/>
        <v>T</v>
      </c>
      <c r="DB24" s="17" t="str">
        <f t="shared" si="31"/>
        <v/>
      </c>
      <c r="DC24" s="17" t="str">
        <f t="shared" si="31"/>
        <v/>
      </c>
      <c r="DD24" s="17" t="str">
        <f t="shared" si="31"/>
        <v/>
      </c>
      <c r="DE24" s="17" t="str">
        <f t="shared" si="31"/>
        <v/>
      </c>
      <c r="DF24" s="17" t="str">
        <f t="shared" si="31"/>
        <v/>
      </c>
      <c r="DG24" s="17" t="str">
        <f t="shared" si="32"/>
        <v/>
      </c>
      <c r="DH24" s="17" t="str">
        <f t="shared" si="32"/>
        <v/>
      </c>
      <c r="DI24" s="17" t="str">
        <f t="shared" si="32"/>
        <v/>
      </c>
      <c r="DJ24" s="17" t="str">
        <f t="shared" si="32"/>
        <v/>
      </c>
      <c r="DK24" s="17" t="str">
        <f t="shared" si="32"/>
        <v/>
      </c>
      <c r="DL24" s="17" t="str">
        <f t="shared" si="32"/>
        <v/>
      </c>
      <c r="DM24" s="17" t="str">
        <f t="shared" si="32"/>
        <v/>
      </c>
      <c r="DN24" s="17" t="str">
        <f t="shared" si="32"/>
        <v/>
      </c>
      <c r="DO24" s="17" t="str">
        <f t="shared" si="32"/>
        <v/>
      </c>
      <c r="DP24" s="17" t="str">
        <f t="shared" si="32"/>
        <v/>
      </c>
      <c r="DQ24" s="17" t="str">
        <f t="shared" si="33"/>
        <v/>
      </c>
      <c r="DR24" s="17" t="str">
        <f t="shared" si="33"/>
        <v/>
      </c>
      <c r="DS24" s="17" t="str">
        <f t="shared" si="33"/>
        <v/>
      </c>
      <c r="DT24" s="17" t="str">
        <f t="shared" si="33"/>
        <v/>
      </c>
      <c r="DU24" s="17" t="str">
        <f t="shared" si="33"/>
        <v/>
      </c>
      <c r="DV24" s="17" t="str">
        <f t="shared" si="33"/>
        <v/>
      </c>
      <c r="DW24" s="17" t="str">
        <f t="shared" si="33"/>
        <v/>
      </c>
      <c r="DX24" s="17" t="str">
        <f t="shared" si="33"/>
        <v/>
      </c>
      <c r="DY24" s="17" t="str">
        <f t="shared" si="33"/>
        <v/>
      </c>
      <c r="DZ24" s="17" t="str">
        <f t="shared" si="33"/>
        <v/>
      </c>
      <c r="EA24" s="17" t="str">
        <f t="shared" si="34"/>
        <v/>
      </c>
      <c r="EB24" s="17" t="str">
        <f t="shared" si="34"/>
        <v/>
      </c>
      <c r="EC24" s="17" t="str">
        <f t="shared" si="34"/>
        <v/>
      </c>
      <c r="ED24" s="17" t="str">
        <f t="shared" si="34"/>
        <v/>
      </c>
      <c r="EE24" s="17" t="str">
        <f t="shared" si="34"/>
        <v/>
      </c>
      <c r="EF24" s="17" t="str">
        <f t="shared" si="34"/>
        <v/>
      </c>
      <c r="EG24" s="17" t="str">
        <f t="shared" si="34"/>
        <v/>
      </c>
      <c r="EH24" s="17" t="str">
        <f t="shared" si="34"/>
        <v/>
      </c>
      <c r="EI24" s="17" t="str">
        <f t="shared" si="34"/>
        <v/>
      </c>
      <c r="EJ24" s="17" t="str">
        <f t="shared" si="34"/>
        <v/>
      </c>
      <c r="EK24" s="17" t="str">
        <f t="shared" si="35"/>
        <v/>
      </c>
      <c r="EL24" s="17" t="str">
        <f t="shared" si="35"/>
        <v/>
      </c>
      <c r="EM24" s="17" t="str">
        <f t="shared" si="35"/>
        <v/>
      </c>
      <c r="EN24" s="17" t="str">
        <f t="shared" si="35"/>
        <v/>
      </c>
      <c r="EO24" s="17" t="str">
        <f t="shared" si="35"/>
        <v/>
      </c>
      <c r="EP24" s="17" t="str">
        <f t="shared" si="35"/>
        <v/>
      </c>
      <c r="EQ24" s="17" t="str">
        <f t="shared" si="35"/>
        <v/>
      </c>
      <c r="ER24" s="17" t="str">
        <f t="shared" si="35"/>
        <v/>
      </c>
      <c r="ES24" s="17" t="str">
        <f t="shared" si="35"/>
        <v/>
      </c>
      <c r="ET24" s="17" t="str">
        <f t="shared" si="35"/>
        <v/>
      </c>
      <c r="EU24" s="17" t="str">
        <f t="shared" si="36"/>
        <v/>
      </c>
      <c r="EV24" s="17" t="str">
        <f t="shared" si="36"/>
        <v/>
      </c>
      <c r="EW24" s="17" t="str">
        <f t="shared" si="36"/>
        <v/>
      </c>
      <c r="EX24" s="17" t="str">
        <f t="shared" si="36"/>
        <v/>
      </c>
      <c r="EY24" s="17" t="str">
        <f t="shared" si="36"/>
        <v/>
      </c>
      <c r="EZ24" s="17" t="str">
        <f t="shared" si="36"/>
        <v/>
      </c>
      <c r="FA24" s="17" t="str">
        <f t="shared" si="36"/>
        <v/>
      </c>
      <c r="FB24" s="17" t="str">
        <f t="shared" si="36"/>
        <v/>
      </c>
      <c r="FC24" s="17" t="str">
        <f t="shared" si="36"/>
        <v/>
      </c>
      <c r="FD24" s="17" t="str">
        <f t="shared" si="36"/>
        <v/>
      </c>
      <c r="FE24" s="17" t="str">
        <f t="shared" si="37"/>
        <v/>
      </c>
      <c r="FF24" s="17" t="str">
        <f t="shared" si="37"/>
        <v/>
      </c>
      <c r="FG24" s="17" t="str">
        <f t="shared" si="37"/>
        <v/>
      </c>
      <c r="FH24" s="17" t="str">
        <f t="shared" si="37"/>
        <v/>
      </c>
      <c r="FI24" s="17" t="str">
        <f t="shared" si="37"/>
        <v/>
      </c>
      <c r="FJ24" s="17" t="str">
        <f t="shared" si="37"/>
        <v/>
      </c>
      <c r="FK24" s="17" t="str">
        <f t="shared" si="37"/>
        <v/>
      </c>
      <c r="FL24" s="17" t="str">
        <f t="shared" si="37"/>
        <v/>
      </c>
      <c r="FM24" s="17" t="str">
        <f t="shared" si="37"/>
        <v/>
      </c>
      <c r="FN24" s="17" t="str">
        <f t="shared" si="37"/>
        <v/>
      </c>
      <c r="FO24" s="17" t="str">
        <f t="shared" si="38"/>
        <v/>
      </c>
      <c r="FP24" s="17" t="str">
        <f t="shared" si="38"/>
        <v/>
      </c>
      <c r="FQ24" s="17" t="str">
        <f t="shared" si="38"/>
        <v/>
      </c>
      <c r="FR24" s="17" t="str">
        <f t="shared" si="38"/>
        <v/>
      </c>
      <c r="FS24" s="17" t="str">
        <f t="shared" si="38"/>
        <v/>
      </c>
      <c r="FT24" s="17" t="str">
        <f t="shared" si="38"/>
        <v/>
      </c>
      <c r="FU24" s="17" t="str">
        <f t="shared" si="38"/>
        <v/>
      </c>
      <c r="FV24" s="17" t="str">
        <f t="shared" si="38"/>
        <v/>
      </c>
      <c r="FW24" s="17" t="str">
        <f t="shared" si="38"/>
        <v/>
      </c>
      <c r="FX24" s="17" t="str">
        <f t="shared" si="38"/>
        <v/>
      </c>
      <c r="FY24" s="17" t="str">
        <f t="shared" si="39"/>
        <v/>
      </c>
      <c r="FZ24" s="17" t="str">
        <f t="shared" si="39"/>
        <v/>
      </c>
      <c r="GA24" s="17" t="str">
        <f t="shared" si="39"/>
        <v/>
      </c>
      <c r="GB24" s="17" t="str">
        <f t="shared" si="39"/>
        <v/>
      </c>
      <c r="GC24" s="17" t="str">
        <f t="shared" si="39"/>
        <v/>
      </c>
      <c r="GD24" s="17" t="str">
        <f t="shared" si="39"/>
        <v/>
      </c>
      <c r="GE24" s="17" t="str">
        <f t="shared" si="39"/>
        <v/>
      </c>
      <c r="GF24" s="17" t="str">
        <f t="shared" si="39"/>
        <v/>
      </c>
      <c r="GG24" s="17" t="str">
        <f t="shared" si="39"/>
        <v/>
      </c>
      <c r="GH24" s="17" t="str">
        <f t="shared" si="39"/>
        <v/>
      </c>
      <c r="GI24" s="17" t="str">
        <f t="shared" si="40"/>
        <v/>
      </c>
      <c r="GJ24" s="17" t="str">
        <f t="shared" si="40"/>
        <v/>
      </c>
      <c r="GK24" s="17" t="str">
        <f t="shared" si="40"/>
        <v/>
      </c>
      <c r="GL24" s="17" t="str">
        <f t="shared" si="40"/>
        <v/>
      </c>
      <c r="GM24" s="17" t="str">
        <f t="shared" si="40"/>
        <v/>
      </c>
      <c r="GN24" s="17" t="str">
        <f t="shared" si="40"/>
        <v/>
      </c>
      <c r="GO24" s="17" t="str">
        <f t="shared" si="40"/>
        <v/>
      </c>
      <c r="GP24" s="17" t="str">
        <f t="shared" si="40"/>
        <v/>
      </c>
      <c r="GQ24" s="17" t="str">
        <f t="shared" si="40"/>
        <v/>
      </c>
      <c r="GR24" s="17" t="str">
        <f t="shared" si="40"/>
        <v/>
      </c>
      <c r="GS24" s="17" t="str">
        <f t="shared" si="41"/>
        <v/>
      </c>
      <c r="GT24" s="17" t="str">
        <f t="shared" si="41"/>
        <v/>
      </c>
      <c r="GU24" s="17" t="str">
        <f t="shared" si="41"/>
        <v/>
      </c>
      <c r="GV24" s="17" t="str">
        <f t="shared" si="41"/>
        <v/>
      </c>
      <c r="GW24" s="17" t="str">
        <f t="shared" si="41"/>
        <v/>
      </c>
      <c r="GX24" s="17" t="str">
        <f t="shared" si="41"/>
        <v/>
      </c>
      <c r="GY24" s="17" t="str">
        <f t="shared" si="41"/>
        <v/>
      </c>
      <c r="GZ24" s="17" t="str">
        <f t="shared" si="41"/>
        <v/>
      </c>
      <c r="HA24" s="17" t="str">
        <f t="shared" si="41"/>
        <v/>
      </c>
      <c r="HB24" s="17" t="str">
        <f t="shared" si="41"/>
        <v/>
      </c>
      <c r="HC24" s="17" t="str">
        <f t="shared" si="42"/>
        <v/>
      </c>
      <c r="HD24" s="17" t="str">
        <f t="shared" si="42"/>
        <v/>
      </c>
      <c r="HE24" s="17" t="str">
        <f t="shared" si="42"/>
        <v/>
      </c>
      <c r="HF24" s="17" t="str">
        <f t="shared" si="42"/>
        <v/>
      </c>
      <c r="HG24" s="17" t="str">
        <f t="shared" si="42"/>
        <v/>
      </c>
      <c r="HH24" s="17" t="str">
        <f t="shared" si="42"/>
        <v/>
      </c>
      <c r="HI24" s="17" t="str">
        <f t="shared" si="42"/>
        <v/>
      </c>
      <c r="HJ24" s="17" t="str">
        <f t="shared" si="42"/>
        <v/>
      </c>
      <c r="HK24" s="17" t="str">
        <f t="shared" si="42"/>
        <v/>
      </c>
      <c r="HL24" s="17" t="str">
        <f t="shared" si="42"/>
        <v/>
      </c>
      <c r="HM24" s="17" t="str">
        <f t="shared" si="43"/>
        <v/>
      </c>
      <c r="HN24" s="17" t="str">
        <f t="shared" si="43"/>
        <v/>
      </c>
      <c r="HO24" s="17" t="str">
        <f t="shared" si="43"/>
        <v/>
      </c>
      <c r="HP24" s="17" t="str">
        <f t="shared" si="43"/>
        <v/>
      </c>
      <c r="HQ24" s="17" t="str">
        <f t="shared" si="43"/>
        <v/>
      </c>
      <c r="HR24" s="17" t="str">
        <f t="shared" si="43"/>
        <v/>
      </c>
      <c r="HS24" s="17" t="str">
        <f t="shared" si="43"/>
        <v/>
      </c>
      <c r="HT24" s="17" t="str">
        <f t="shared" si="43"/>
        <v/>
      </c>
      <c r="HU24" s="17" t="str">
        <f t="shared" si="43"/>
        <v/>
      </c>
      <c r="HV24" s="17" t="str">
        <f t="shared" si="43"/>
        <v/>
      </c>
      <c r="HW24" s="17" t="str">
        <f t="shared" si="43"/>
        <v/>
      </c>
      <c r="HX24" s="17" t="str">
        <f t="shared" si="43"/>
        <v/>
      </c>
      <c r="HY24" s="17" t="str">
        <f t="shared" si="43"/>
        <v/>
      </c>
      <c r="HZ24" s="17" t="str">
        <f t="shared" si="43"/>
        <v/>
      </c>
      <c r="IA24" s="17" t="str">
        <f t="shared" si="43"/>
        <v/>
      </c>
    </row>
    <row r="25" spans="1:235" ht="25.95" customHeight="1" x14ac:dyDescent="0.3">
      <c r="A25" s="7">
        <v>20</v>
      </c>
      <c r="B25" s="7">
        <f>Premissas!$B$6</f>
        <v>6</v>
      </c>
      <c r="C25" s="7">
        <f>19*Premissas!$B$8</f>
        <v>230.30303030303034</v>
      </c>
      <c r="D25" s="7">
        <f>C25+Premissas!$B$9</f>
        <v>278.30303030303037</v>
      </c>
      <c r="E25" s="7">
        <f>C25+Premissas!$B$11</f>
        <v>284.30303030303037</v>
      </c>
      <c r="F25" s="7">
        <f>E25+Premissas!$B$8</f>
        <v>296.42424242424249</v>
      </c>
      <c r="G25" s="7">
        <f>Premissas!$B$11</f>
        <v>54</v>
      </c>
      <c r="H25" s="7">
        <f>Premissas!$B$12</f>
        <v>3</v>
      </c>
      <c r="I25" s="7" t="s">
        <v>47</v>
      </c>
      <c r="J25" s="8" t="s">
        <v>48</v>
      </c>
      <c r="K25" s="17" t="str">
        <f t="shared" si="22"/>
        <v/>
      </c>
      <c r="L25" s="17" t="str">
        <f t="shared" si="22"/>
        <v/>
      </c>
      <c r="M25" s="17" t="str">
        <f t="shared" si="22"/>
        <v/>
      </c>
      <c r="N25" s="17" t="str">
        <f t="shared" si="22"/>
        <v/>
      </c>
      <c r="O25" s="17" t="str">
        <f t="shared" si="22"/>
        <v/>
      </c>
      <c r="P25" s="17" t="str">
        <f t="shared" si="22"/>
        <v/>
      </c>
      <c r="Q25" s="17" t="str">
        <f t="shared" si="22"/>
        <v/>
      </c>
      <c r="R25" s="17" t="str">
        <f t="shared" si="22"/>
        <v/>
      </c>
      <c r="S25" s="17" t="str">
        <f t="shared" si="22"/>
        <v/>
      </c>
      <c r="T25" s="17" t="str">
        <f t="shared" si="22"/>
        <v/>
      </c>
      <c r="U25" s="17" t="str">
        <f t="shared" si="23"/>
        <v/>
      </c>
      <c r="V25" s="17" t="str">
        <f t="shared" si="23"/>
        <v/>
      </c>
      <c r="W25" s="17" t="str">
        <f t="shared" si="23"/>
        <v/>
      </c>
      <c r="X25" s="17" t="str">
        <f t="shared" si="23"/>
        <v/>
      </c>
      <c r="Y25" s="17" t="str">
        <f t="shared" si="23"/>
        <v/>
      </c>
      <c r="Z25" s="17" t="str">
        <f t="shared" si="23"/>
        <v/>
      </c>
      <c r="AA25" s="17" t="str">
        <f t="shared" si="23"/>
        <v/>
      </c>
      <c r="AB25" s="17" t="str">
        <f t="shared" si="23"/>
        <v/>
      </c>
      <c r="AC25" s="17" t="str">
        <f t="shared" si="23"/>
        <v/>
      </c>
      <c r="AD25" s="17" t="str">
        <f t="shared" si="23"/>
        <v/>
      </c>
      <c r="AE25" s="17" t="str">
        <f t="shared" si="24"/>
        <v/>
      </c>
      <c r="AF25" s="17" t="str">
        <f t="shared" si="24"/>
        <v/>
      </c>
      <c r="AG25" s="17" t="str">
        <f t="shared" si="24"/>
        <v/>
      </c>
      <c r="AH25" s="17" t="str">
        <f t="shared" si="24"/>
        <v/>
      </c>
      <c r="AI25" s="17" t="str">
        <f t="shared" si="24"/>
        <v/>
      </c>
      <c r="AJ25" s="17" t="str">
        <f t="shared" si="24"/>
        <v/>
      </c>
      <c r="AK25" s="17" t="str">
        <f t="shared" si="24"/>
        <v/>
      </c>
      <c r="AL25" s="17" t="str">
        <f t="shared" si="24"/>
        <v/>
      </c>
      <c r="AM25" s="17" t="str">
        <f t="shared" si="24"/>
        <v/>
      </c>
      <c r="AN25" s="17" t="str">
        <f t="shared" si="24"/>
        <v/>
      </c>
      <c r="AO25" s="17" t="str">
        <f t="shared" si="25"/>
        <v/>
      </c>
      <c r="AP25" s="17" t="str">
        <f t="shared" si="25"/>
        <v/>
      </c>
      <c r="AQ25" s="17" t="str">
        <f t="shared" si="25"/>
        <v/>
      </c>
      <c r="AR25" s="17" t="str">
        <f t="shared" si="25"/>
        <v/>
      </c>
      <c r="AS25" s="17" t="str">
        <f t="shared" si="25"/>
        <v/>
      </c>
      <c r="AT25" s="17" t="str">
        <f t="shared" si="25"/>
        <v/>
      </c>
      <c r="AU25" s="17" t="str">
        <f t="shared" si="25"/>
        <v/>
      </c>
      <c r="AV25" s="17" t="str">
        <f t="shared" si="25"/>
        <v/>
      </c>
      <c r="AW25" s="17" t="str">
        <f t="shared" si="25"/>
        <v/>
      </c>
      <c r="AX25" s="17" t="str">
        <f t="shared" si="25"/>
        <v/>
      </c>
      <c r="AY25" s="17" t="str">
        <f t="shared" si="26"/>
        <v/>
      </c>
      <c r="AZ25" s="17" t="str">
        <f t="shared" si="26"/>
        <v/>
      </c>
      <c r="BA25" s="17" t="str">
        <f t="shared" si="26"/>
        <v/>
      </c>
      <c r="BB25" s="17" t="str">
        <f t="shared" si="26"/>
        <v/>
      </c>
      <c r="BC25" s="17" t="str">
        <f t="shared" si="26"/>
        <v/>
      </c>
      <c r="BD25" s="17" t="str">
        <f t="shared" si="26"/>
        <v/>
      </c>
      <c r="BE25" s="17" t="str">
        <f t="shared" si="26"/>
        <v/>
      </c>
      <c r="BF25" s="17" t="str">
        <f t="shared" si="26"/>
        <v/>
      </c>
      <c r="BG25" s="17" t="str">
        <f t="shared" si="26"/>
        <v/>
      </c>
      <c r="BH25" s="17" t="str">
        <f t="shared" si="26"/>
        <v/>
      </c>
      <c r="BI25" s="17" t="str">
        <f t="shared" si="27"/>
        <v/>
      </c>
      <c r="BJ25" s="17" t="str">
        <f t="shared" si="27"/>
        <v/>
      </c>
      <c r="BK25" s="17" t="str">
        <f t="shared" si="27"/>
        <v/>
      </c>
      <c r="BL25" s="17" t="str">
        <f t="shared" si="27"/>
        <v/>
      </c>
      <c r="BM25" s="17" t="str">
        <f t="shared" si="27"/>
        <v/>
      </c>
      <c r="BN25" s="17" t="str">
        <f t="shared" si="27"/>
        <v/>
      </c>
      <c r="BO25" s="17" t="str">
        <f t="shared" si="27"/>
        <v/>
      </c>
      <c r="BP25" s="17" t="str">
        <f t="shared" si="27"/>
        <v/>
      </c>
      <c r="BQ25" s="17" t="str">
        <f t="shared" si="27"/>
        <v/>
      </c>
      <c r="BR25" s="17" t="str">
        <f t="shared" si="27"/>
        <v/>
      </c>
      <c r="BS25" s="17" t="str">
        <f t="shared" si="28"/>
        <v/>
      </c>
      <c r="BT25" s="17" t="str">
        <f t="shared" si="28"/>
        <v/>
      </c>
      <c r="BU25" s="17" t="str">
        <f t="shared" si="28"/>
        <v/>
      </c>
      <c r="BV25" s="17" t="str">
        <f t="shared" si="28"/>
        <v/>
      </c>
      <c r="BW25" s="17" t="str">
        <f t="shared" si="28"/>
        <v/>
      </c>
      <c r="BX25" s="17" t="str">
        <f t="shared" si="28"/>
        <v/>
      </c>
      <c r="BY25" s="17" t="str">
        <f t="shared" si="28"/>
        <v/>
      </c>
      <c r="BZ25" s="17" t="str">
        <f t="shared" si="28"/>
        <v/>
      </c>
      <c r="CA25" s="17" t="str">
        <f t="shared" si="28"/>
        <v/>
      </c>
      <c r="CB25" s="17" t="str">
        <f t="shared" si="28"/>
        <v/>
      </c>
      <c r="CC25" s="17" t="str">
        <f t="shared" si="29"/>
        <v/>
      </c>
      <c r="CD25" s="17" t="str">
        <f t="shared" si="29"/>
        <v/>
      </c>
      <c r="CE25" s="17" t="str">
        <f t="shared" si="29"/>
        <v/>
      </c>
      <c r="CF25" s="17" t="str">
        <f t="shared" si="29"/>
        <v/>
      </c>
      <c r="CG25" s="17" t="str">
        <f t="shared" si="29"/>
        <v/>
      </c>
      <c r="CH25" s="17" t="str">
        <f t="shared" si="29"/>
        <v/>
      </c>
      <c r="CI25" s="17" t="str">
        <f t="shared" si="29"/>
        <v/>
      </c>
      <c r="CJ25" s="17" t="str">
        <f t="shared" si="29"/>
        <v>R</v>
      </c>
      <c r="CK25" s="17" t="str">
        <f t="shared" si="29"/>
        <v>R</v>
      </c>
      <c r="CL25" s="17" t="str">
        <f t="shared" si="29"/>
        <v>R</v>
      </c>
      <c r="CM25" s="17" t="str">
        <f t="shared" si="30"/>
        <v>R</v>
      </c>
      <c r="CN25" s="17" t="str">
        <f t="shared" si="30"/>
        <v>R</v>
      </c>
      <c r="CO25" s="17" t="str">
        <f t="shared" si="30"/>
        <v>R</v>
      </c>
      <c r="CP25" s="17" t="str">
        <f t="shared" si="30"/>
        <v>R</v>
      </c>
      <c r="CQ25" s="17" t="str">
        <f t="shared" si="30"/>
        <v>R</v>
      </c>
      <c r="CR25" s="17" t="str">
        <f t="shared" si="30"/>
        <v>R</v>
      </c>
      <c r="CS25" s="17" t="str">
        <f t="shared" si="30"/>
        <v>R</v>
      </c>
      <c r="CT25" s="17" t="str">
        <f t="shared" si="30"/>
        <v>R</v>
      </c>
      <c r="CU25" s="17" t="str">
        <f t="shared" si="30"/>
        <v>R</v>
      </c>
      <c r="CV25" s="17" t="str">
        <f t="shared" si="30"/>
        <v>R</v>
      </c>
      <c r="CW25" s="17" t="str">
        <f t="shared" si="31"/>
        <v>R</v>
      </c>
      <c r="CX25" s="17" t="str">
        <f t="shared" si="31"/>
        <v>R</v>
      </c>
      <c r="CY25" s="17" t="str">
        <f t="shared" si="31"/>
        <v>R</v>
      </c>
      <c r="CZ25" s="17" t="str">
        <f t="shared" si="31"/>
        <v>P</v>
      </c>
      <c r="DA25" s="17" t="str">
        <f t="shared" si="31"/>
        <v>P</v>
      </c>
      <c r="DB25" s="17" t="str">
        <f t="shared" si="31"/>
        <v>T</v>
      </c>
      <c r="DC25" s="17" t="str">
        <f t="shared" si="31"/>
        <v>T</v>
      </c>
      <c r="DD25" s="17" t="str">
        <f t="shared" si="31"/>
        <v>T</v>
      </c>
      <c r="DE25" s="17" t="str">
        <f t="shared" si="31"/>
        <v>T</v>
      </c>
      <c r="DF25" s="17" t="str">
        <f t="shared" si="31"/>
        <v/>
      </c>
      <c r="DG25" s="17" t="str">
        <f t="shared" si="32"/>
        <v/>
      </c>
      <c r="DH25" s="17" t="str">
        <f t="shared" si="32"/>
        <v/>
      </c>
      <c r="DI25" s="17" t="str">
        <f t="shared" si="32"/>
        <v/>
      </c>
      <c r="DJ25" s="17" t="str">
        <f t="shared" si="32"/>
        <v/>
      </c>
      <c r="DK25" s="17" t="str">
        <f t="shared" si="32"/>
        <v/>
      </c>
      <c r="DL25" s="17" t="str">
        <f t="shared" si="32"/>
        <v/>
      </c>
      <c r="DM25" s="17" t="str">
        <f t="shared" si="32"/>
        <v/>
      </c>
      <c r="DN25" s="17" t="str">
        <f t="shared" si="32"/>
        <v/>
      </c>
      <c r="DO25" s="17" t="str">
        <f t="shared" si="32"/>
        <v/>
      </c>
      <c r="DP25" s="17" t="str">
        <f t="shared" si="32"/>
        <v/>
      </c>
      <c r="DQ25" s="17" t="str">
        <f t="shared" si="33"/>
        <v/>
      </c>
      <c r="DR25" s="17" t="str">
        <f t="shared" si="33"/>
        <v/>
      </c>
      <c r="DS25" s="17" t="str">
        <f t="shared" si="33"/>
        <v/>
      </c>
      <c r="DT25" s="17" t="str">
        <f t="shared" si="33"/>
        <v/>
      </c>
      <c r="DU25" s="17" t="str">
        <f t="shared" si="33"/>
        <v/>
      </c>
      <c r="DV25" s="17" t="str">
        <f t="shared" si="33"/>
        <v/>
      </c>
      <c r="DW25" s="17" t="str">
        <f t="shared" si="33"/>
        <v/>
      </c>
      <c r="DX25" s="17" t="str">
        <f t="shared" si="33"/>
        <v/>
      </c>
      <c r="DY25" s="17" t="str">
        <f t="shared" si="33"/>
        <v/>
      </c>
      <c r="DZ25" s="17" t="str">
        <f t="shared" si="33"/>
        <v/>
      </c>
      <c r="EA25" s="17" t="str">
        <f t="shared" si="34"/>
        <v/>
      </c>
      <c r="EB25" s="17" t="str">
        <f t="shared" si="34"/>
        <v/>
      </c>
      <c r="EC25" s="17" t="str">
        <f t="shared" si="34"/>
        <v/>
      </c>
      <c r="ED25" s="17" t="str">
        <f t="shared" si="34"/>
        <v/>
      </c>
      <c r="EE25" s="17" t="str">
        <f t="shared" si="34"/>
        <v/>
      </c>
      <c r="EF25" s="17" t="str">
        <f t="shared" si="34"/>
        <v/>
      </c>
      <c r="EG25" s="17" t="str">
        <f t="shared" si="34"/>
        <v/>
      </c>
      <c r="EH25" s="17" t="str">
        <f t="shared" si="34"/>
        <v/>
      </c>
      <c r="EI25" s="17" t="str">
        <f t="shared" si="34"/>
        <v/>
      </c>
      <c r="EJ25" s="17" t="str">
        <f t="shared" si="34"/>
        <v/>
      </c>
      <c r="EK25" s="17" t="str">
        <f t="shared" si="35"/>
        <v/>
      </c>
      <c r="EL25" s="17" t="str">
        <f t="shared" si="35"/>
        <v/>
      </c>
      <c r="EM25" s="17" t="str">
        <f t="shared" si="35"/>
        <v/>
      </c>
      <c r="EN25" s="17" t="str">
        <f t="shared" si="35"/>
        <v/>
      </c>
      <c r="EO25" s="17" t="str">
        <f t="shared" si="35"/>
        <v/>
      </c>
      <c r="EP25" s="17" t="str">
        <f t="shared" si="35"/>
        <v/>
      </c>
      <c r="EQ25" s="17" t="str">
        <f t="shared" si="35"/>
        <v/>
      </c>
      <c r="ER25" s="17" t="str">
        <f t="shared" si="35"/>
        <v/>
      </c>
      <c r="ES25" s="17" t="str">
        <f t="shared" si="35"/>
        <v/>
      </c>
      <c r="ET25" s="17" t="str">
        <f t="shared" si="35"/>
        <v/>
      </c>
      <c r="EU25" s="17" t="str">
        <f t="shared" si="36"/>
        <v/>
      </c>
      <c r="EV25" s="17" t="str">
        <f t="shared" si="36"/>
        <v/>
      </c>
      <c r="EW25" s="17" t="str">
        <f t="shared" si="36"/>
        <v/>
      </c>
      <c r="EX25" s="17" t="str">
        <f t="shared" si="36"/>
        <v/>
      </c>
      <c r="EY25" s="17" t="str">
        <f t="shared" si="36"/>
        <v/>
      </c>
      <c r="EZ25" s="17" t="str">
        <f t="shared" si="36"/>
        <v/>
      </c>
      <c r="FA25" s="17" t="str">
        <f t="shared" si="36"/>
        <v/>
      </c>
      <c r="FB25" s="17" t="str">
        <f t="shared" si="36"/>
        <v/>
      </c>
      <c r="FC25" s="17" t="str">
        <f t="shared" si="36"/>
        <v/>
      </c>
      <c r="FD25" s="17" t="str">
        <f t="shared" si="36"/>
        <v/>
      </c>
      <c r="FE25" s="17" t="str">
        <f t="shared" si="37"/>
        <v/>
      </c>
      <c r="FF25" s="17" t="str">
        <f t="shared" si="37"/>
        <v/>
      </c>
      <c r="FG25" s="17" t="str">
        <f t="shared" si="37"/>
        <v/>
      </c>
      <c r="FH25" s="17" t="str">
        <f t="shared" si="37"/>
        <v/>
      </c>
      <c r="FI25" s="17" t="str">
        <f t="shared" si="37"/>
        <v/>
      </c>
      <c r="FJ25" s="17" t="str">
        <f t="shared" si="37"/>
        <v/>
      </c>
      <c r="FK25" s="17" t="str">
        <f t="shared" si="37"/>
        <v/>
      </c>
      <c r="FL25" s="17" t="str">
        <f t="shared" si="37"/>
        <v/>
      </c>
      <c r="FM25" s="17" t="str">
        <f t="shared" si="37"/>
        <v/>
      </c>
      <c r="FN25" s="17" t="str">
        <f t="shared" si="37"/>
        <v/>
      </c>
      <c r="FO25" s="17" t="str">
        <f t="shared" si="38"/>
        <v/>
      </c>
      <c r="FP25" s="17" t="str">
        <f t="shared" si="38"/>
        <v/>
      </c>
      <c r="FQ25" s="17" t="str">
        <f t="shared" si="38"/>
        <v/>
      </c>
      <c r="FR25" s="17" t="str">
        <f t="shared" si="38"/>
        <v/>
      </c>
      <c r="FS25" s="17" t="str">
        <f t="shared" si="38"/>
        <v/>
      </c>
      <c r="FT25" s="17" t="str">
        <f t="shared" si="38"/>
        <v/>
      </c>
      <c r="FU25" s="17" t="str">
        <f t="shared" si="38"/>
        <v/>
      </c>
      <c r="FV25" s="17" t="str">
        <f t="shared" si="38"/>
        <v/>
      </c>
      <c r="FW25" s="17" t="str">
        <f t="shared" si="38"/>
        <v/>
      </c>
      <c r="FX25" s="17" t="str">
        <f t="shared" si="38"/>
        <v/>
      </c>
      <c r="FY25" s="17" t="str">
        <f t="shared" si="39"/>
        <v/>
      </c>
      <c r="FZ25" s="17" t="str">
        <f t="shared" si="39"/>
        <v/>
      </c>
      <c r="GA25" s="17" t="str">
        <f t="shared" si="39"/>
        <v/>
      </c>
      <c r="GB25" s="17" t="str">
        <f t="shared" si="39"/>
        <v/>
      </c>
      <c r="GC25" s="17" t="str">
        <f t="shared" si="39"/>
        <v/>
      </c>
      <c r="GD25" s="17" t="str">
        <f t="shared" si="39"/>
        <v/>
      </c>
      <c r="GE25" s="17" t="str">
        <f t="shared" si="39"/>
        <v/>
      </c>
      <c r="GF25" s="17" t="str">
        <f t="shared" si="39"/>
        <v/>
      </c>
      <c r="GG25" s="17" t="str">
        <f t="shared" si="39"/>
        <v/>
      </c>
      <c r="GH25" s="17" t="str">
        <f t="shared" si="39"/>
        <v/>
      </c>
      <c r="GI25" s="17" t="str">
        <f t="shared" si="40"/>
        <v/>
      </c>
      <c r="GJ25" s="17" t="str">
        <f t="shared" si="40"/>
        <v/>
      </c>
      <c r="GK25" s="17" t="str">
        <f t="shared" si="40"/>
        <v/>
      </c>
      <c r="GL25" s="17" t="str">
        <f t="shared" si="40"/>
        <v/>
      </c>
      <c r="GM25" s="17" t="str">
        <f t="shared" si="40"/>
        <v/>
      </c>
      <c r="GN25" s="17" t="str">
        <f t="shared" si="40"/>
        <v/>
      </c>
      <c r="GO25" s="17" t="str">
        <f t="shared" si="40"/>
        <v/>
      </c>
      <c r="GP25" s="17" t="str">
        <f t="shared" si="40"/>
        <v/>
      </c>
      <c r="GQ25" s="17" t="str">
        <f t="shared" si="40"/>
        <v/>
      </c>
      <c r="GR25" s="17" t="str">
        <f t="shared" si="40"/>
        <v/>
      </c>
      <c r="GS25" s="17" t="str">
        <f t="shared" si="41"/>
        <v/>
      </c>
      <c r="GT25" s="17" t="str">
        <f t="shared" si="41"/>
        <v/>
      </c>
      <c r="GU25" s="17" t="str">
        <f t="shared" si="41"/>
        <v/>
      </c>
      <c r="GV25" s="17" t="str">
        <f t="shared" si="41"/>
        <v/>
      </c>
      <c r="GW25" s="17" t="str">
        <f t="shared" si="41"/>
        <v/>
      </c>
      <c r="GX25" s="17" t="str">
        <f t="shared" si="41"/>
        <v/>
      </c>
      <c r="GY25" s="17" t="str">
        <f t="shared" si="41"/>
        <v/>
      </c>
      <c r="GZ25" s="17" t="str">
        <f t="shared" si="41"/>
        <v/>
      </c>
      <c r="HA25" s="17" t="str">
        <f t="shared" si="41"/>
        <v/>
      </c>
      <c r="HB25" s="17" t="str">
        <f t="shared" si="41"/>
        <v/>
      </c>
      <c r="HC25" s="17" t="str">
        <f t="shared" si="42"/>
        <v/>
      </c>
      <c r="HD25" s="17" t="str">
        <f t="shared" si="42"/>
        <v/>
      </c>
      <c r="HE25" s="17" t="str">
        <f t="shared" si="42"/>
        <v/>
      </c>
      <c r="HF25" s="17" t="str">
        <f t="shared" si="42"/>
        <v/>
      </c>
      <c r="HG25" s="17" t="str">
        <f t="shared" si="42"/>
        <v/>
      </c>
      <c r="HH25" s="17" t="str">
        <f t="shared" si="42"/>
        <v/>
      </c>
      <c r="HI25" s="17" t="str">
        <f t="shared" si="42"/>
        <v/>
      </c>
      <c r="HJ25" s="17" t="str">
        <f t="shared" si="42"/>
        <v/>
      </c>
      <c r="HK25" s="17" t="str">
        <f t="shared" si="42"/>
        <v/>
      </c>
      <c r="HL25" s="17" t="str">
        <f t="shared" si="42"/>
        <v/>
      </c>
      <c r="HM25" s="17" t="str">
        <f t="shared" si="43"/>
        <v/>
      </c>
      <c r="HN25" s="17" t="str">
        <f t="shared" si="43"/>
        <v/>
      </c>
      <c r="HO25" s="17" t="str">
        <f t="shared" si="43"/>
        <v/>
      </c>
      <c r="HP25" s="17" t="str">
        <f t="shared" si="43"/>
        <v/>
      </c>
      <c r="HQ25" s="17" t="str">
        <f t="shared" si="43"/>
        <v/>
      </c>
      <c r="HR25" s="17" t="str">
        <f t="shared" si="43"/>
        <v/>
      </c>
      <c r="HS25" s="17" t="str">
        <f t="shared" si="43"/>
        <v/>
      </c>
      <c r="HT25" s="17" t="str">
        <f t="shared" si="43"/>
        <v/>
      </c>
      <c r="HU25" s="17" t="str">
        <f t="shared" si="43"/>
        <v/>
      </c>
      <c r="HV25" s="17" t="str">
        <f t="shared" si="43"/>
        <v/>
      </c>
      <c r="HW25" s="17" t="str">
        <f t="shared" si="43"/>
        <v/>
      </c>
      <c r="HX25" s="17" t="str">
        <f t="shared" si="43"/>
        <v/>
      </c>
      <c r="HY25" s="17" t="str">
        <f t="shared" si="43"/>
        <v/>
      </c>
      <c r="HZ25" s="17" t="str">
        <f t="shared" si="43"/>
        <v/>
      </c>
      <c r="IA25" s="17" t="str">
        <f t="shared" si="43"/>
        <v/>
      </c>
    </row>
    <row r="26" spans="1:235" ht="25.95" customHeight="1" x14ac:dyDescent="0.3">
      <c r="A26" s="7">
        <v>21</v>
      </c>
      <c r="B26" s="7">
        <f>Premissas!$B$6</f>
        <v>6</v>
      </c>
      <c r="C26" s="7">
        <f>20*Premissas!$B$8</f>
        <v>242.42424242424246</v>
      </c>
      <c r="D26" s="7">
        <f>C26+Premissas!$B$9</f>
        <v>290.42424242424249</v>
      </c>
      <c r="E26" s="7">
        <f>C26+Premissas!$B$11</f>
        <v>296.42424242424249</v>
      </c>
      <c r="F26" s="7">
        <f>E26+Premissas!$B$8</f>
        <v>308.54545454545462</v>
      </c>
      <c r="G26" s="7">
        <f>Premissas!$B$11</f>
        <v>54</v>
      </c>
      <c r="H26" s="7">
        <f>Premissas!$B$12</f>
        <v>3</v>
      </c>
      <c r="I26" s="7" t="s">
        <v>47</v>
      </c>
      <c r="J26" s="8" t="s">
        <v>48</v>
      </c>
      <c r="K26" s="17" t="str">
        <f t="shared" ref="K26:T35" si="44">IF(AND(K$4&gt;=$C26,K$4&lt;$D26),"R",IF(AND(K$4&gt;=$D26,K$4&lt;$E26),"P",IF(AND(K$4&gt;=$E26,K$4&lt;$F26),"T","")))</f>
        <v/>
      </c>
      <c r="L26" s="17" t="str">
        <f t="shared" si="44"/>
        <v/>
      </c>
      <c r="M26" s="17" t="str">
        <f t="shared" si="44"/>
        <v/>
      </c>
      <c r="N26" s="17" t="str">
        <f t="shared" si="44"/>
        <v/>
      </c>
      <c r="O26" s="17" t="str">
        <f t="shared" si="44"/>
        <v/>
      </c>
      <c r="P26" s="17" t="str">
        <f t="shared" si="44"/>
        <v/>
      </c>
      <c r="Q26" s="17" t="str">
        <f t="shared" si="44"/>
        <v/>
      </c>
      <c r="R26" s="17" t="str">
        <f t="shared" si="44"/>
        <v/>
      </c>
      <c r="S26" s="17" t="str">
        <f t="shared" si="44"/>
        <v/>
      </c>
      <c r="T26" s="17" t="str">
        <f t="shared" si="44"/>
        <v/>
      </c>
      <c r="U26" s="17" t="str">
        <f t="shared" ref="U26:AD35" si="45">IF(AND(U$4&gt;=$C26,U$4&lt;$D26),"R",IF(AND(U$4&gt;=$D26,U$4&lt;$E26),"P",IF(AND(U$4&gt;=$E26,U$4&lt;$F26),"T","")))</f>
        <v/>
      </c>
      <c r="V26" s="17" t="str">
        <f t="shared" si="45"/>
        <v/>
      </c>
      <c r="W26" s="17" t="str">
        <f t="shared" si="45"/>
        <v/>
      </c>
      <c r="X26" s="17" t="str">
        <f t="shared" si="45"/>
        <v/>
      </c>
      <c r="Y26" s="17" t="str">
        <f t="shared" si="45"/>
        <v/>
      </c>
      <c r="Z26" s="17" t="str">
        <f t="shared" si="45"/>
        <v/>
      </c>
      <c r="AA26" s="17" t="str">
        <f t="shared" si="45"/>
        <v/>
      </c>
      <c r="AB26" s="17" t="str">
        <f t="shared" si="45"/>
        <v/>
      </c>
      <c r="AC26" s="17" t="str">
        <f t="shared" si="45"/>
        <v/>
      </c>
      <c r="AD26" s="17" t="str">
        <f t="shared" si="45"/>
        <v/>
      </c>
      <c r="AE26" s="17" t="str">
        <f t="shared" ref="AE26:AN35" si="46">IF(AND(AE$4&gt;=$C26,AE$4&lt;$D26),"R",IF(AND(AE$4&gt;=$D26,AE$4&lt;$E26),"P",IF(AND(AE$4&gt;=$E26,AE$4&lt;$F26),"T","")))</f>
        <v/>
      </c>
      <c r="AF26" s="17" t="str">
        <f t="shared" si="46"/>
        <v/>
      </c>
      <c r="AG26" s="17" t="str">
        <f t="shared" si="46"/>
        <v/>
      </c>
      <c r="AH26" s="17" t="str">
        <f t="shared" si="46"/>
        <v/>
      </c>
      <c r="AI26" s="17" t="str">
        <f t="shared" si="46"/>
        <v/>
      </c>
      <c r="AJ26" s="17" t="str">
        <f t="shared" si="46"/>
        <v/>
      </c>
      <c r="AK26" s="17" t="str">
        <f t="shared" si="46"/>
        <v/>
      </c>
      <c r="AL26" s="17" t="str">
        <f t="shared" si="46"/>
        <v/>
      </c>
      <c r="AM26" s="17" t="str">
        <f t="shared" si="46"/>
        <v/>
      </c>
      <c r="AN26" s="17" t="str">
        <f t="shared" si="46"/>
        <v/>
      </c>
      <c r="AO26" s="17" t="str">
        <f t="shared" ref="AO26:AX35" si="47">IF(AND(AO$4&gt;=$C26,AO$4&lt;$D26),"R",IF(AND(AO$4&gt;=$D26,AO$4&lt;$E26),"P",IF(AND(AO$4&gt;=$E26,AO$4&lt;$F26),"T","")))</f>
        <v/>
      </c>
      <c r="AP26" s="17" t="str">
        <f t="shared" si="47"/>
        <v/>
      </c>
      <c r="AQ26" s="17" t="str">
        <f t="shared" si="47"/>
        <v/>
      </c>
      <c r="AR26" s="17" t="str">
        <f t="shared" si="47"/>
        <v/>
      </c>
      <c r="AS26" s="17" t="str">
        <f t="shared" si="47"/>
        <v/>
      </c>
      <c r="AT26" s="17" t="str">
        <f t="shared" si="47"/>
        <v/>
      </c>
      <c r="AU26" s="17" t="str">
        <f t="shared" si="47"/>
        <v/>
      </c>
      <c r="AV26" s="17" t="str">
        <f t="shared" si="47"/>
        <v/>
      </c>
      <c r="AW26" s="17" t="str">
        <f t="shared" si="47"/>
        <v/>
      </c>
      <c r="AX26" s="17" t="str">
        <f t="shared" si="47"/>
        <v/>
      </c>
      <c r="AY26" s="17" t="str">
        <f t="shared" ref="AY26:BH35" si="48">IF(AND(AY$4&gt;=$C26,AY$4&lt;$D26),"R",IF(AND(AY$4&gt;=$D26,AY$4&lt;$E26),"P",IF(AND(AY$4&gt;=$E26,AY$4&lt;$F26),"T","")))</f>
        <v/>
      </c>
      <c r="AZ26" s="17" t="str">
        <f t="shared" si="48"/>
        <v/>
      </c>
      <c r="BA26" s="17" t="str">
        <f t="shared" si="48"/>
        <v/>
      </c>
      <c r="BB26" s="17" t="str">
        <f t="shared" si="48"/>
        <v/>
      </c>
      <c r="BC26" s="17" t="str">
        <f t="shared" si="48"/>
        <v/>
      </c>
      <c r="BD26" s="17" t="str">
        <f t="shared" si="48"/>
        <v/>
      </c>
      <c r="BE26" s="17" t="str">
        <f t="shared" si="48"/>
        <v/>
      </c>
      <c r="BF26" s="17" t="str">
        <f t="shared" si="48"/>
        <v/>
      </c>
      <c r="BG26" s="17" t="str">
        <f t="shared" si="48"/>
        <v/>
      </c>
      <c r="BH26" s="17" t="str">
        <f t="shared" si="48"/>
        <v/>
      </c>
      <c r="BI26" s="17" t="str">
        <f t="shared" ref="BI26:BR35" si="49">IF(AND(BI$4&gt;=$C26,BI$4&lt;$D26),"R",IF(AND(BI$4&gt;=$D26,BI$4&lt;$E26),"P",IF(AND(BI$4&gt;=$E26,BI$4&lt;$F26),"T","")))</f>
        <v/>
      </c>
      <c r="BJ26" s="17" t="str">
        <f t="shared" si="49"/>
        <v/>
      </c>
      <c r="BK26" s="17" t="str">
        <f t="shared" si="49"/>
        <v/>
      </c>
      <c r="BL26" s="17" t="str">
        <f t="shared" si="49"/>
        <v/>
      </c>
      <c r="BM26" s="17" t="str">
        <f t="shared" si="49"/>
        <v/>
      </c>
      <c r="BN26" s="17" t="str">
        <f t="shared" si="49"/>
        <v/>
      </c>
      <c r="BO26" s="17" t="str">
        <f t="shared" si="49"/>
        <v/>
      </c>
      <c r="BP26" s="17" t="str">
        <f t="shared" si="49"/>
        <v/>
      </c>
      <c r="BQ26" s="17" t="str">
        <f t="shared" si="49"/>
        <v/>
      </c>
      <c r="BR26" s="17" t="str">
        <f t="shared" si="49"/>
        <v/>
      </c>
      <c r="BS26" s="17" t="str">
        <f t="shared" ref="BS26:CB35" si="50">IF(AND(BS$4&gt;=$C26,BS$4&lt;$D26),"R",IF(AND(BS$4&gt;=$D26,BS$4&lt;$E26),"P",IF(AND(BS$4&gt;=$E26,BS$4&lt;$F26),"T","")))</f>
        <v/>
      </c>
      <c r="BT26" s="17" t="str">
        <f t="shared" si="50"/>
        <v/>
      </c>
      <c r="BU26" s="17" t="str">
        <f t="shared" si="50"/>
        <v/>
      </c>
      <c r="BV26" s="17" t="str">
        <f t="shared" si="50"/>
        <v/>
      </c>
      <c r="BW26" s="17" t="str">
        <f t="shared" si="50"/>
        <v/>
      </c>
      <c r="BX26" s="17" t="str">
        <f t="shared" si="50"/>
        <v/>
      </c>
      <c r="BY26" s="17" t="str">
        <f t="shared" si="50"/>
        <v/>
      </c>
      <c r="BZ26" s="17" t="str">
        <f t="shared" si="50"/>
        <v/>
      </c>
      <c r="CA26" s="17" t="str">
        <f t="shared" si="50"/>
        <v/>
      </c>
      <c r="CB26" s="17" t="str">
        <f t="shared" si="50"/>
        <v/>
      </c>
      <c r="CC26" s="17" t="str">
        <f t="shared" ref="CC26:CL35" si="51">IF(AND(CC$4&gt;=$C26,CC$4&lt;$D26),"R",IF(AND(CC$4&gt;=$D26,CC$4&lt;$E26),"P",IF(AND(CC$4&gt;=$E26,CC$4&lt;$F26),"T","")))</f>
        <v/>
      </c>
      <c r="CD26" s="17" t="str">
        <f t="shared" si="51"/>
        <v/>
      </c>
      <c r="CE26" s="17" t="str">
        <f t="shared" si="51"/>
        <v/>
      </c>
      <c r="CF26" s="17" t="str">
        <f t="shared" si="51"/>
        <v/>
      </c>
      <c r="CG26" s="17" t="str">
        <f t="shared" si="51"/>
        <v/>
      </c>
      <c r="CH26" s="17" t="str">
        <f t="shared" si="51"/>
        <v/>
      </c>
      <c r="CI26" s="17" t="str">
        <f t="shared" si="51"/>
        <v/>
      </c>
      <c r="CJ26" s="17" t="str">
        <f t="shared" si="51"/>
        <v/>
      </c>
      <c r="CK26" s="17" t="str">
        <f t="shared" si="51"/>
        <v/>
      </c>
      <c r="CL26" s="17" t="str">
        <f t="shared" si="51"/>
        <v/>
      </c>
      <c r="CM26" s="17" t="str">
        <f t="shared" ref="CM26:CV35" si="52">IF(AND(CM$4&gt;=$C26,CM$4&lt;$D26),"R",IF(AND(CM$4&gt;=$D26,CM$4&lt;$E26),"P",IF(AND(CM$4&gt;=$E26,CM$4&lt;$F26),"T","")))</f>
        <v/>
      </c>
      <c r="CN26" s="17" t="str">
        <f t="shared" si="52"/>
        <v>R</v>
      </c>
      <c r="CO26" s="17" t="str">
        <f t="shared" si="52"/>
        <v>R</v>
      </c>
      <c r="CP26" s="17" t="str">
        <f t="shared" si="52"/>
        <v>R</v>
      </c>
      <c r="CQ26" s="17" t="str">
        <f t="shared" si="52"/>
        <v>R</v>
      </c>
      <c r="CR26" s="17" t="str">
        <f t="shared" si="52"/>
        <v>R</v>
      </c>
      <c r="CS26" s="17" t="str">
        <f t="shared" si="52"/>
        <v>R</v>
      </c>
      <c r="CT26" s="17" t="str">
        <f t="shared" si="52"/>
        <v>R</v>
      </c>
      <c r="CU26" s="17" t="str">
        <f t="shared" si="52"/>
        <v>R</v>
      </c>
      <c r="CV26" s="17" t="str">
        <f t="shared" si="52"/>
        <v>R</v>
      </c>
      <c r="CW26" s="17" t="str">
        <f t="shared" ref="CW26:DF35" si="53">IF(AND(CW$4&gt;=$C26,CW$4&lt;$D26),"R",IF(AND(CW$4&gt;=$D26,CW$4&lt;$E26),"P",IF(AND(CW$4&gt;=$E26,CW$4&lt;$F26),"T","")))</f>
        <v>R</v>
      </c>
      <c r="CX26" s="17" t="str">
        <f t="shared" si="53"/>
        <v>R</v>
      </c>
      <c r="CY26" s="17" t="str">
        <f t="shared" si="53"/>
        <v>R</v>
      </c>
      <c r="CZ26" s="17" t="str">
        <f t="shared" si="53"/>
        <v>R</v>
      </c>
      <c r="DA26" s="17" t="str">
        <f t="shared" si="53"/>
        <v>R</v>
      </c>
      <c r="DB26" s="17" t="str">
        <f t="shared" si="53"/>
        <v>R</v>
      </c>
      <c r="DC26" s="17" t="str">
        <f t="shared" si="53"/>
        <v>R</v>
      </c>
      <c r="DD26" s="17" t="str">
        <f t="shared" si="53"/>
        <v>P</v>
      </c>
      <c r="DE26" s="17" t="str">
        <f t="shared" si="53"/>
        <v>P</v>
      </c>
      <c r="DF26" s="17" t="str">
        <f t="shared" si="53"/>
        <v>T</v>
      </c>
      <c r="DG26" s="17" t="str">
        <f t="shared" ref="DG26:DP35" si="54">IF(AND(DG$4&gt;=$C26,DG$4&lt;$D26),"R",IF(AND(DG$4&gt;=$D26,DG$4&lt;$E26),"P",IF(AND(DG$4&gt;=$E26,DG$4&lt;$F26),"T","")))</f>
        <v>T</v>
      </c>
      <c r="DH26" s="17" t="str">
        <f t="shared" si="54"/>
        <v>T</v>
      </c>
      <c r="DI26" s="17" t="str">
        <f t="shared" si="54"/>
        <v>T</v>
      </c>
      <c r="DJ26" s="17" t="str">
        <f t="shared" si="54"/>
        <v/>
      </c>
      <c r="DK26" s="17" t="str">
        <f t="shared" si="54"/>
        <v/>
      </c>
      <c r="DL26" s="17" t="str">
        <f t="shared" si="54"/>
        <v/>
      </c>
      <c r="DM26" s="17" t="str">
        <f t="shared" si="54"/>
        <v/>
      </c>
      <c r="DN26" s="17" t="str">
        <f t="shared" si="54"/>
        <v/>
      </c>
      <c r="DO26" s="17" t="str">
        <f t="shared" si="54"/>
        <v/>
      </c>
      <c r="DP26" s="17" t="str">
        <f t="shared" si="54"/>
        <v/>
      </c>
      <c r="DQ26" s="17" t="str">
        <f t="shared" ref="DQ26:DZ35" si="55">IF(AND(DQ$4&gt;=$C26,DQ$4&lt;$D26),"R",IF(AND(DQ$4&gt;=$D26,DQ$4&lt;$E26),"P",IF(AND(DQ$4&gt;=$E26,DQ$4&lt;$F26),"T","")))</f>
        <v/>
      </c>
      <c r="DR26" s="17" t="str">
        <f t="shared" si="55"/>
        <v/>
      </c>
      <c r="DS26" s="17" t="str">
        <f t="shared" si="55"/>
        <v/>
      </c>
      <c r="DT26" s="17" t="str">
        <f t="shared" si="55"/>
        <v/>
      </c>
      <c r="DU26" s="17" t="str">
        <f t="shared" si="55"/>
        <v/>
      </c>
      <c r="DV26" s="17" t="str">
        <f t="shared" si="55"/>
        <v/>
      </c>
      <c r="DW26" s="17" t="str">
        <f t="shared" si="55"/>
        <v/>
      </c>
      <c r="DX26" s="17" t="str">
        <f t="shared" si="55"/>
        <v/>
      </c>
      <c r="DY26" s="17" t="str">
        <f t="shared" si="55"/>
        <v/>
      </c>
      <c r="DZ26" s="17" t="str">
        <f t="shared" si="55"/>
        <v/>
      </c>
      <c r="EA26" s="17" t="str">
        <f t="shared" ref="EA26:EJ35" si="56">IF(AND(EA$4&gt;=$C26,EA$4&lt;$D26),"R",IF(AND(EA$4&gt;=$D26,EA$4&lt;$E26),"P",IF(AND(EA$4&gt;=$E26,EA$4&lt;$F26),"T","")))</f>
        <v/>
      </c>
      <c r="EB26" s="17" t="str">
        <f t="shared" si="56"/>
        <v/>
      </c>
      <c r="EC26" s="17" t="str">
        <f t="shared" si="56"/>
        <v/>
      </c>
      <c r="ED26" s="17" t="str">
        <f t="shared" si="56"/>
        <v/>
      </c>
      <c r="EE26" s="17" t="str">
        <f t="shared" si="56"/>
        <v/>
      </c>
      <c r="EF26" s="17" t="str">
        <f t="shared" si="56"/>
        <v/>
      </c>
      <c r="EG26" s="17" t="str">
        <f t="shared" si="56"/>
        <v/>
      </c>
      <c r="EH26" s="17" t="str">
        <f t="shared" si="56"/>
        <v/>
      </c>
      <c r="EI26" s="17" t="str">
        <f t="shared" si="56"/>
        <v/>
      </c>
      <c r="EJ26" s="17" t="str">
        <f t="shared" si="56"/>
        <v/>
      </c>
      <c r="EK26" s="17" t="str">
        <f t="shared" ref="EK26:ET35" si="57">IF(AND(EK$4&gt;=$C26,EK$4&lt;$D26),"R",IF(AND(EK$4&gt;=$D26,EK$4&lt;$E26),"P",IF(AND(EK$4&gt;=$E26,EK$4&lt;$F26),"T","")))</f>
        <v/>
      </c>
      <c r="EL26" s="17" t="str">
        <f t="shared" si="57"/>
        <v/>
      </c>
      <c r="EM26" s="17" t="str">
        <f t="shared" si="57"/>
        <v/>
      </c>
      <c r="EN26" s="17" t="str">
        <f t="shared" si="57"/>
        <v/>
      </c>
      <c r="EO26" s="17" t="str">
        <f t="shared" si="57"/>
        <v/>
      </c>
      <c r="EP26" s="17" t="str">
        <f t="shared" si="57"/>
        <v/>
      </c>
      <c r="EQ26" s="17" t="str">
        <f t="shared" si="57"/>
        <v/>
      </c>
      <c r="ER26" s="17" t="str">
        <f t="shared" si="57"/>
        <v/>
      </c>
      <c r="ES26" s="17" t="str">
        <f t="shared" si="57"/>
        <v/>
      </c>
      <c r="ET26" s="17" t="str">
        <f t="shared" si="57"/>
        <v/>
      </c>
      <c r="EU26" s="17" t="str">
        <f t="shared" ref="EU26:FD35" si="58">IF(AND(EU$4&gt;=$C26,EU$4&lt;$D26),"R",IF(AND(EU$4&gt;=$D26,EU$4&lt;$E26),"P",IF(AND(EU$4&gt;=$E26,EU$4&lt;$F26),"T","")))</f>
        <v/>
      </c>
      <c r="EV26" s="17" t="str">
        <f t="shared" si="58"/>
        <v/>
      </c>
      <c r="EW26" s="17" t="str">
        <f t="shared" si="58"/>
        <v/>
      </c>
      <c r="EX26" s="17" t="str">
        <f t="shared" si="58"/>
        <v/>
      </c>
      <c r="EY26" s="17" t="str">
        <f t="shared" si="58"/>
        <v/>
      </c>
      <c r="EZ26" s="17" t="str">
        <f t="shared" si="58"/>
        <v/>
      </c>
      <c r="FA26" s="17" t="str">
        <f t="shared" si="58"/>
        <v/>
      </c>
      <c r="FB26" s="17" t="str">
        <f t="shared" si="58"/>
        <v/>
      </c>
      <c r="FC26" s="17" t="str">
        <f t="shared" si="58"/>
        <v/>
      </c>
      <c r="FD26" s="17" t="str">
        <f t="shared" si="58"/>
        <v/>
      </c>
      <c r="FE26" s="17" t="str">
        <f t="shared" ref="FE26:FN35" si="59">IF(AND(FE$4&gt;=$C26,FE$4&lt;$D26),"R",IF(AND(FE$4&gt;=$D26,FE$4&lt;$E26),"P",IF(AND(FE$4&gt;=$E26,FE$4&lt;$F26),"T","")))</f>
        <v/>
      </c>
      <c r="FF26" s="17" t="str">
        <f t="shared" si="59"/>
        <v/>
      </c>
      <c r="FG26" s="17" t="str">
        <f t="shared" si="59"/>
        <v/>
      </c>
      <c r="FH26" s="17" t="str">
        <f t="shared" si="59"/>
        <v/>
      </c>
      <c r="FI26" s="17" t="str">
        <f t="shared" si="59"/>
        <v/>
      </c>
      <c r="FJ26" s="17" t="str">
        <f t="shared" si="59"/>
        <v/>
      </c>
      <c r="FK26" s="17" t="str">
        <f t="shared" si="59"/>
        <v/>
      </c>
      <c r="FL26" s="17" t="str">
        <f t="shared" si="59"/>
        <v/>
      </c>
      <c r="FM26" s="17" t="str">
        <f t="shared" si="59"/>
        <v/>
      </c>
      <c r="FN26" s="17" t="str">
        <f t="shared" si="59"/>
        <v/>
      </c>
      <c r="FO26" s="17" t="str">
        <f t="shared" ref="FO26:FX35" si="60">IF(AND(FO$4&gt;=$C26,FO$4&lt;$D26),"R",IF(AND(FO$4&gt;=$D26,FO$4&lt;$E26),"P",IF(AND(FO$4&gt;=$E26,FO$4&lt;$F26),"T","")))</f>
        <v/>
      </c>
      <c r="FP26" s="17" t="str">
        <f t="shared" si="60"/>
        <v/>
      </c>
      <c r="FQ26" s="17" t="str">
        <f t="shared" si="60"/>
        <v/>
      </c>
      <c r="FR26" s="17" t="str">
        <f t="shared" si="60"/>
        <v/>
      </c>
      <c r="FS26" s="17" t="str">
        <f t="shared" si="60"/>
        <v/>
      </c>
      <c r="FT26" s="17" t="str">
        <f t="shared" si="60"/>
        <v/>
      </c>
      <c r="FU26" s="17" t="str">
        <f t="shared" si="60"/>
        <v/>
      </c>
      <c r="FV26" s="17" t="str">
        <f t="shared" si="60"/>
        <v/>
      </c>
      <c r="FW26" s="17" t="str">
        <f t="shared" si="60"/>
        <v/>
      </c>
      <c r="FX26" s="17" t="str">
        <f t="shared" si="60"/>
        <v/>
      </c>
      <c r="FY26" s="17" t="str">
        <f t="shared" ref="FY26:GH35" si="61">IF(AND(FY$4&gt;=$C26,FY$4&lt;$D26),"R",IF(AND(FY$4&gt;=$D26,FY$4&lt;$E26),"P",IF(AND(FY$4&gt;=$E26,FY$4&lt;$F26),"T","")))</f>
        <v/>
      </c>
      <c r="FZ26" s="17" t="str">
        <f t="shared" si="61"/>
        <v/>
      </c>
      <c r="GA26" s="17" t="str">
        <f t="shared" si="61"/>
        <v/>
      </c>
      <c r="GB26" s="17" t="str">
        <f t="shared" si="61"/>
        <v/>
      </c>
      <c r="GC26" s="17" t="str">
        <f t="shared" si="61"/>
        <v/>
      </c>
      <c r="GD26" s="17" t="str">
        <f t="shared" si="61"/>
        <v/>
      </c>
      <c r="GE26" s="17" t="str">
        <f t="shared" si="61"/>
        <v/>
      </c>
      <c r="GF26" s="17" t="str">
        <f t="shared" si="61"/>
        <v/>
      </c>
      <c r="GG26" s="17" t="str">
        <f t="shared" si="61"/>
        <v/>
      </c>
      <c r="GH26" s="17" t="str">
        <f t="shared" si="61"/>
        <v/>
      </c>
      <c r="GI26" s="17" t="str">
        <f t="shared" ref="GI26:GR35" si="62">IF(AND(GI$4&gt;=$C26,GI$4&lt;$D26),"R",IF(AND(GI$4&gt;=$D26,GI$4&lt;$E26),"P",IF(AND(GI$4&gt;=$E26,GI$4&lt;$F26),"T","")))</f>
        <v/>
      </c>
      <c r="GJ26" s="17" t="str">
        <f t="shared" si="62"/>
        <v/>
      </c>
      <c r="GK26" s="17" t="str">
        <f t="shared" si="62"/>
        <v/>
      </c>
      <c r="GL26" s="17" t="str">
        <f t="shared" si="62"/>
        <v/>
      </c>
      <c r="GM26" s="17" t="str">
        <f t="shared" si="62"/>
        <v/>
      </c>
      <c r="GN26" s="17" t="str">
        <f t="shared" si="62"/>
        <v/>
      </c>
      <c r="GO26" s="17" t="str">
        <f t="shared" si="62"/>
        <v/>
      </c>
      <c r="GP26" s="17" t="str">
        <f t="shared" si="62"/>
        <v/>
      </c>
      <c r="GQ26" s="17" t="str">
        <f t="shared" si="62"/>
        <v/>
      </c>
      <c r="GR26" s="17" t="str">
        <f t="shared" si="62"/>
        <v/>
      </c>
      <c r="GS26" s="17" t="str">
        <f t="shared" ref="GS26:HB35" si="63">IF(AND(GS$4&gt;=$C26,GS$4&lt;$D26),"R",IF(AND(GS$4&gt;=$D26,GS$4&lt;$E26),"P",IF(AND(GS$4&gt;=$E26,GS$4&lt;$F26),"T","")))</f>
        <v/>
      </c>
      <c r="GT26" s="17" t="str">
        <f t="shared" si="63"/>
        <v/>
      </c>
      <c r="GU26" s="17" t="str">
        <f t="shared" si="63"/>
        <v/>
      </c>
      <c r="GV26" s="17" t="str">
        <f t="shared" si="63"/>
        <v/>
      </c>
      <c r="GW26" s="17" t="str">
        <f t="shared" si="63"/>
        <v/>
      </c>
      <c r="GX26" s="17" t="str">
        <f t="shared" si="63"/>
        <v/>
      </c>
      <c r="GY26" s="17" t="str">
        <f t="shared" si="63"/>
        <v/>
      </c>
      <c r="GZ26" s="17" t="str">
        <f t="shared" si="63"/>
        <v/>
      </c>
      <c r="HA26" s="17" t="str">
        <f t="shared" si="63"/>
        <v/>
      </c>
      <c r="HB26" s="17" t="str">
        <f t="shared" si="63"/>
        <v/>
      </c>
      <c r="HC26" s="17" t="str">
        <f t="shared" ref="HC26:HL35" si="64">IF(AND(HC$4&gt;=$C26,HC$4&lt;$D26),"R",IF(AND(HC$4&gt;=$D26,HC$4&lt;$E26),"P",IF(AND(HC$4&gt;=$E26,HC$4&lt;$F26),"T","")))</f>
        <v/>
      </c>
      <c r="HD26" s="17" t="str">
        <f t="shared" si="64"/>
        <v/>
      </c>
      <c r="HE26" s="17" t="str">
        <f t="shared" si="64"/>
        <v/>
      </c>
      <c r="HF26" s="17" t="str">
        <f t="shared" si="64"/>
        <v/>
      </c>
      <c r="HG26" s="17" t="str">
        <f t="shared" si="64"/>
        <v/>
      </c>
      <c r="HH26" s="17" t="str">
        <f t="shared" si="64"/>
        <v/>
      </c>
      <c r="HI26" s="17" t="str">
        <f t="shared" si="64"/>
        <v/>
      </c>
      <c r="HJ26" s="17" t="str">
        <f t="shared" si="64"/>
        <v/>
      </c>
      <c r="HK26" s="17" t="str">
        <f t="shared" si="64"/>
        <v/>
      </c>
      <c r="HL26" s="17" t="str">
        <f t="shared" si="64"/>
        <v/>
      </c>
      <c r="HM26" s="17" t="str">
        <f t="shared" ref="HM26:IA35" si="65">IF(AND(HM$4&gt;=$C26,HM$4&lt;$D26),"R",IF(AND(HM$4&gt;=$D26,HM$4&lt;$E26),"P",IF(AND(HM$4&gt;=$E26,HM$4&lt;$F26),"T","")))</f>
        <v/>
      </c>
      <c r="HN26" s="17" t="str">
        <f t="shared" si="65"/>
        <v/>
      </c>
      <c r="HO26" s="17" t="str">
        <f t="shared" si="65"/>
        <v/>
      </c>
      <c r="HP26" s="17" t="str">
        <f t="shared" si="65"/>
        <v/>
      </c>
      <c r="HQ26" s="17" t="str">
        <f t="shared" si="65"/>
        <v/>
      </c>
      <c r="HR26" s="17" t="str">
        <f t="shared" si="65"/>
        <v/>
      </c>
      <c r="HS26" s="17" t="str">
        <f t="shared" si="65"/>
        <v/>
      </c>
      <c r="HT26" s="17" t="str">
        <f t="shared" si="65"/>
        <v/>
      </c>
      <c r="HU26" s="17" t="str">
        <f t="shared" si="65"/>
        <v/>
      </c>
      <c r="HV26" s="17" t="str">
        <f t="shared" si="65"/>
        <v/>
      </c>
      <c r="HW26" s="17" t="str">
        <f t="shared" si="65"/>
        <v/>
      </c>
      <c r="HX26" s="17" t="str">
        <f t="shared" si="65"/>
        <v/>
      </c>
      <c r="HY26" s="17" t="str">
        <f t="shared" si="65"/>
        <v/>
      </c>
      <c r="HZ26" s="17" t="str">
        <f t="shared" si="65"/>
        <v/>
      </c>
      <c r="IA26" s="17" t="str">
        <f t="shared" si="65"/>
        <v/>
      </c>
    </row>
    <row r="27" spans="1:235" ht="25.95" customHeight="1" x14ac:dyDescent="0.3">
      <c r="A27" s="7">
        <v>22</v>
      </c>
      <c r="B27" s="7">
        <f>Premissas!$B$6</f>
        <v>6</v>
      </c>
      <c r="C27" s="7">
        <f>21*Premissas!$B$8</f>
        <v>254.54545454545459</v>
      </c>
      <c r="D27" s="7">
        <f>C27+Premissas!$B$9</f>
        <v>302.54545454545462</v>
      </c>
      <c r="E27" s="7">
        <f>C27+Premissas!$B$11</f>
        <v>308.54545454545462</v>
      </c>
      <c r="F27" s="7">
        <f>E27+Premissas!$B$8</f>
        <v>320.66666666666674</v>
      </c>
      <c r="G27" s="7">
        <f>Premissas!$B$11</f>
        <v>54</v>
      </c>
      <c r="H27" s="7">
        <f>Premissas!$B$12</f>
        <v>3</v>
      </c>
      <c r="I27" s="7" t="s">
        <v>47</v>
      </c>
      <c r="J27" s="8" t="s">
        <v>48</v>
      </c>
      <c r="K27" s="17" t="str">
        <f t="shared" si="44"/>
        <v/>
      </c>
      <c r="L27" s="17" t="str">
        <f t="shared" si="44"/>
        <v/>
      </c>
      <c r="M27" s="17" t="str">
        <f t="shared" si="44"/>
        <v/>
      </c>
      <c r="N27" s="17" t="str">
        <f t="shared" si="44"/>
        <v/>
      </c>
      <c r="O27" s="17" t="str">
        <f t="shared" si="44"/>
        <v/>
      </c>
      <c r="P27" s="17" t="str">
        <f t="shared" si="44"/>
        <v/>
      </c>
      <c r="Q27" s="17" t="str">
        <f t="shared" si="44"/>
        <v/>
      </c>
      <c r="R27" s="17" t="str">
        <f t="shared" si="44"/>
        <v/>
      </c>
      <c r="S27" s="17" t="str">
        <f t="shared" si="44"/>
        <v/>
      </c>
      <c r="T27" s="17" t="str">
        <f t="shared" si="44"/>
        <v/>
      </c>
      <c r="U27" s="17" t="str">
        <f t="shared" si="45"/>
        <v/>
      </c>
      <c r="V27" s="17" t="str">
        <f t="shared" si="45"/>
        <v/>
      </c>
      <c r="W27" s="17" t="str">
        <f t="shared" si="45"/>
        <v/>
      </c>
      <c r="X27" s="17" t="str">
        <f t="shared" si="45"/>
        <v/>
      </c>
      <c r="Y27" s="17" t="str">
        <f t="shared" si="45"/>
        <v/>
      </c>
      <c r="Z27" s="17" t="str">
        <f t="shared" si="45"/>
        <v/>
      </c>
      <c r="AA27" s="17" t="str">
        <f t="shared" si="45"/>
        <v/>
      </c>
      <c r="AB27" s="17" t="str">
        <f t="shared" si="45"/>
        <v/>
      </c>
      <c r="AC27" s="17" t="str">
        <f t="shared" si="45"/>
        <v/>
      </c>
      <c r="AD27" s="17" t="str">
        <f t="shared" si="45"/>
        <v/>
      </c>
      <c r="AE27" s="17" t="str">
        <f t="shared" si="46"/>
        <v/>
      </c>
      <c r="AF27" s="17" t="str">
        <f t="shared" si="46"/>
        <v/>
      </c>
      <c r="AG27" s="17" t="str">
        <f t="shared" si="46"/>
        <v/>
      </c>
      <c r="AH27" s="17" t="str">
        <f t="shared" si="46"/>
        <v/>
      </c>
      <c r="AI27" s="17" t="str">
        <f t="shared" si="46"/>
        <v/>
      </c>
      <c r="AJ27" s="17" t="str">
        <f t="shared" si="46"/>
        <v/>
      </c>
      <c r="AK27" s="17" t="str">
        <f t="shared" si="46"/>
        <v/>
      </c>
      <c r="AL27" s="17" t="str">
        <f t="shared" si="46"/>
        <v/>
      </c>
      <c r="AM27" s="17" t="str">
        <f t="shared" si="46"/>
        <v/>
      </c>
      <c r="AN27" s="17" t="str">
        <f t="shared" si="46"/>
        <v/>
      </c>
      <c r="AO27" s="17" t="str">
        <f t="shared" si="47"/>
        <v/>
      </c>
      <c r="AP27" s="17" t="str">
        <f t="shared" si="47"/>
        <v/>
      </c>
      <c r="AQ27" s="17" t="str">
        <f t="shared" si="47"/>
        <v/>
      </c>
      <c r="AR27" s="17" t="str">
        <f t="shared" si="47"/>
        <v/>
      </c>
      <c r="AS27" s="17" t="str">
        <f t="shared" si="47"/>
        <v/>
      </c>
      <c r="AT27" s="17" t="str">
        <f t="shared" si="47"/>
        <v/>
      </c>
      <c r="AU27" s="17" t="str">
        <f t="shared" si="47"/>
        <v/>
      </c>
      <c r="AV27" s="17" t="str">
        <f t="shared" si="47"/>
        <v/>
      </c>
      <c r="AW27" s="17" t="str">
        <f t="shared" si="47"/>
        <v/>
      </c>
      <c r="AX27" s="17" t="str">
        <f t="shared" si="47"/>
        <v/>
      </c>
      <c r="AY27" s="17" t="str">
        <f t="shared" si="48"/>
        <v/>
      </c>
      <c r="AZ27" s="17" t="str">
        <f t="shared" si="48"/>
        <v/>
      </c>
      <c r="BA27" s="17" t="str">
        <f t="shared" si="48"/>
        <v/>
      </c>
      <c r="BB27" s="17" t="str">
        <f t="shared" si="48"/>
        <v/>
      </c>
      <c r="BC27" s="17" t="str">
        <f t="shared" si="48"/>
        <v/>
      </c>
      <c r="BD27" s="17" t="str">
        <f t="shared" si="48"/>
        <v/>
      </c>
      <c r="BE27" s="17" t="str">
        <f t="shared" si="48"/>
        <v/>
      </c>
      <c r="BF27" s="17" t="str">
        <f t="shared" si="48"/>
        <v/>
      </c>
      <c r="BG27" s="17" t="str">
        <f t="shared" si="48"/>
        <v/>
      </c>
      <c r="BH27" s="17" t="str">
        <f t="shared" si="48"/>
        <v/>
      </c>
      <c r="BI27" s="17" t="str">
        <f t="shared" si="49"/>
        <v/>
      </c>
      <c r="BJ27" s="17" t="str">
        <f t="shared" si="49"/>
        <v/>
      </c>
      <c r="BK27" s="17" t="str">
        <f t="shared" si="49"/>
        <v/>
      </c>
      <c r="BL27" s="17" t="str">
        <f t="shared" si="49"/>
        <v/>
      </c>
      <c r="BM27" s="17" t="str">
        <f t="shared" si="49"/>
        <v/>
      </c>
      <c r="BN27" s="17" t="str">
        <f t="shared" si="49"/>
        <v/>
      </c>
      <c r="BO27" s="17" t="str">
        <f t="shared" si="49"/>
        <v/>
      </c>
      <c r="BP27" s="17" t="str">
        <f t="shared" si="49"/>
        <v/>
      </c>
      <c r="BQ27" s="17" t="str">
        <f t="shared" si="49"/>
        <v/>
      </c>
      <c r="BR27" s="17" t="str">
        <f t="shared" si="49"/>
        <v/>
      </c>
      <c r="BS27" s="17" t="str">
        <f t="shared" si="50"/>
        <v/>
      </c>
      <c r="BT27" s="17" t="str">
        <f t="shared" si="50"/>
        <v/>
      </c>
      <c r="BU27" s="17" t="str">
        <f t="shared" si="50"/>
        <v/>
      </c>
      <c r="BV27" s="17" t="str">
        <f t="shared" si="50"/>
        <v/>
      </c>
      <c r="BW27" s="17" t="str">
        <f t="shared" si="50"/>
        <v/>
      </c>
      <c r="BX27" s="17" t="str">
        <f t="shared" si="50"/>
        <v/>
      </c>
      <c r="BY27" s="17" t="str">
        <f t="shared" si="50"/>
        <v/>
      </c>
      <c r="BZ27" s="17" t="str">
        <f t="shared" si="50"/>
        <v/>
      </c>
      <c r="CA27" s="17" t="str">
        <f t="shared" si="50"/>
        <v/>
      </c>
      <c r="CB27" s="17" t="str">
        <f t="shared" si="50"/>
        <v/>
      </c>
      <c r="CC27" s="17" t="str">
        <f t="shared" si="51"/>
        <v/>
      </c>
      <c r="CD27" s="17" t="str">
        <f t="shared" si="51"/>
        <v/>
      </c>
      <c r="CE27" s="17" t="str">
        <f t="shared" si="51"/>
        <v/>
      </c>
      <c r="CF27" s="17" t="str">
        <f t="shared" si="51"/>
        <v/>
      </c>
      <c r="CG27" s="17" t="str">
        <f t="shared" si="51"/>
        <v/>
      </c>
      <c r="CH27" s="17" t="str">
        <f t="shared" si="51"/>
        <v/>
      </c>
      <c r="CI27" s="17" t="str">
        <f t="shared" si="51"/>
        <v/>
      </c>
      <c r="CJ27" s="17" t="str">
        <f t="shared" si="51"/>
        <v/>
      </c>
      <c r="CK27" s="17" t="str">
        <f t="shared" si="51"/>
        <v/>
      </c>
      <c r="CL27" s="17" t="str">
        <f t="shared" si="51"/>
        <v/>
      </c>
      <c r="CM27" s="17" t="str">
        <f t="shared" si="52"/>
        <v/>
      </c>
      <c r="CN27" s="17" t="str">
        <f t="shared" si="52"/>
        <v/>
      </c>
      <c r="CO27" s="17" t="str">
        <f t="shared" si="52"/>
        <v/>
      </c>
      <c r="CP27" s="17" t="str">
        <f t="shared" si="52"/>
        <v/>
      </c>
      <c r="CQ27" s="17" t="str">
        <f t="shared" si="52"/>
        <v/>
      </c>
      <c r="CR27" s="17" t="str">
        <f t="shared" si="52"/>
        <v>R</v>
      </c>
      <c r="CS27" s="17" t="str">
        <f t="shared" si="52"/>
        <v>R</v>
      </c>
      <c r="CT27" s="17" t="str">
        <f t="shared" si="52"/>
        <v>R</v>
      </c>
      <c r="CU27" s="17" t="str">
        <f t="shared" si="52"/>
        <v>R</v>
      </c>
      <c r="CV27" s="17" t="str">
        <f t="shared" si="52"/>
        <v>R</v>
      </c>
      <c r="CW27" s="17" t="str">
        <f t="shared" si="53"/>
        <v>R</v>
      </c>
      <c r="CX27" s="17" t="str">
        <f t="shared" si="53"/>
        <v>R</v>
      </c>
      <c r="CY27" s="17" t="str">
        <f t="shared" si="53"/>
        <v>R</v>
      </c>
      <c r="CZ27" s="17" t="str">
        <f t="shared" si="53"/>
        <v>R</v>
      </c>
      <c r="DA27" s="17" t="str">
        <f t="shared" si="53"/>
        <v>R</v>
      </c>
      <c r="DB27" s="17" t="str">
        <f t="shared" si="53"/>
        <v>R</v>
      </c>
      <c r="DC27" s="17" t="str">
        <f t="shared" si="53"/>
        <v>R</v>
      </c>
      <c r="DD27" s="17" t="str">
        <f t="shared" si="53"/>
        <v>R</v>
      </c>
      <c r="DE27" s="17" t="str">
        <f t="shared" si="53"/>
        <v>R</v>
      </c>
      <c r="DF27" s="17" t="str">
        <f t="shared" si="53"/>
        <v>R</v>
      </c>
      <c r="DG27" s="17" t="str">
        <f t="shared" si="54"/>
        <v>R</v>
      </c>
      <c r="DH27" s="17" t="str">
        <f t="shared" si="54"/>
        <v>P</v>
      </c>
      <c r="DI27" s="17" t="str">
        <f t="shared" si="54"/>
        <v>P</v>
      </c>
      <c r="DJ27" s="17" t="str">
        <f t="shared" si="54"/>
        <v>T</v>
      </c>
      <c r="DK27" s="17" t="str">
        <f t="shared" si="54"/>
        <v>T</v>
      </c>
      <c r="DL27" s="17" t="str">
        <f t="shared" si="54"/>
        <v>T</v>
      </c>
      <c r="DM27" s="17" t="str">
        <f t="shared" si="54"/>
        <v>T</v>
      </c>
      <c r="DN27" s="17" t="str">
        <f t="shared" si="54"/>
        <v/>
      </c>
      <c r="DO27" s="17" t="str">
        <f t="shared" si="54"/>
        <v/>
      </c>
      <c r="DP27" s="17" t="str">
        <f t="shared" si="54"/>
        <v/>
      </c>
      <c r="DQ27" s="17" t="str">
        <f t="shared" si="55"/>
        <v/>
      </c>
      <c r="DR27" s="17" t="str">
        <f t="shared" si="55"/>
        <v/>
      </c>
      <c r="DS27" s="17" t="str">
        <f t="shared" si="55"/>
        <v/>
      </c>
      <c r="DT27" s="17" t="str">
        <f t="shared" si="55"/>
        <v/>
      </c>
      <c r="DU27" s="17" t="str">
        <f t="shared" si="55"/>
        <v/>
      </c>
      <c r="DV27" s="17" t="str">
        <f t="shared" si="55"/>
        <v/>
      </c>
      <c r="DW27" s="17" t="str">
        <f t="shared" si="55"/>
        <v/>
      </c>
      <c r="DX27" s="17" t="str">
        <f t="shared" si="55"/>
        <v/>
      </c>
      <c r="DY27" s="17" t="str">
        <f t="shared" si="55"/>
        <v/>
      </c>
      <c r="DZ27" s="17" t="str">
        <f t="shared" si="55"/>
        <v/>
      </c>
      <c r="EA27" s="17" t="str">
        <f t="shared" si="56"/>
        <v/>
      </c>
      <c r="EB27" s="17" t="str">
        <f t="shared" si="56"/>
        <v/>
      </c>
      <c r="EC27" s="17" t="str">
        <f t="shared" si="56"/>
        <v/>
      </c>
      <c r="ED27" s="17" t="str">
        <f t="shared" si="56"/>
        <v/>
      </c>
      <c r="EE27" s="17" t="str">
        <f t="shared" si="56"/>
        <v/>
      </c>
      <c r="EF27" s="17" t="str">
        <f t="shared" si="56"/>
        <v/>
      </c>
      <c r="EG27" s="17" t="str">
        <f t="shared" si="56"/>
        <v/>
      </c>
      <c r="EH27" s="17" t="str">
        <f t="shared" si="56"/>
        <v/>
      </c>
      <c r="EI27" s="17" t="str">
        <f t="shared" si="56"/>
        <v/>
      </c>
      <c r="EJ27" s="17" t="str">
        <f t="shared" si="56"/>
        <v/>
      </c>
      <c r="EK27" s="17" t="str">
        <f t="shared" si="57"/>
        <v/>
      </c>
      <c r="EL27" s="17" t="str">
        <f t="shared" si="57"/>
        <v/>
      </c>
      <c r="EM27" s="17" t="str">
        <f t="shared" si="57"/>
        <v/>
      </c>
      <c r="EN27" s="17" t="str">
        <f t="shared" si="57"/>
        <v/>
      </c>
      <c r="EO27" s="17" t="str">
        <f t="shared" si="57"/>
        <v/>
      </c>
      <c r="EP27" s="17" t="str">
        <f t="shared" si="57"/>
        <v/>
      </c>
      <c r="EQ27" s="17" t="str">
        <f t="shared" si="57"/>
        <v/>
      </c>
      <c r="ER27" s="17" t="str">
        <f t="shared" si="57"/>
        <v/>
      </c>
      <c r="ES27" s="17" t="str">
        <f t="shared" si="57"/>
        <v/>
      </c>
      <c r="ET27" s="17" t="str">
        <f t="shared" si="57"/>
        <v/>
      </c>
      <c r="EU27" s="17" t="str">
        <f t="shared" si="58"/>
        <v/>
      </c>
      <c r="EV27" s="17" t="str">
        <f t="shared" si="58"/>
        <v/>
      </c>
      <c r="EW27" s="17" t="str">
        <f t="shared" si="58"/>
        <v/>
      </c>
      <c r="EX27" s="17" t="str">
        <f t="shared" si="58"/>
        <v/>
      </c>
      <c r="EY27" s="17" t="str">
        <f t="shared" si="58"/>
        <v/>
      </c>
      <c r="EZ27" s="17" t="str">
        <f t="shared" si="58"/>
        <v/>
      </c>
      <c r="FA27" s="17" t="str">
        <f t="shared" si="58"/>
        <v/>
      </c>
      <c r="FB27" s="17" t="str">
        <f t="shared" si="58"/>
        <v/>
      </c>
      <c r="FC27" s="17" t="str">
        <f t="shared" si="58"/>
        <v/>
      </c>
      <c r="FD27" s="17" t="str">
        <f t="shared" si="58"/>
        <v/>
      </c>
      <c r="FE27" s="17" t="str">
        <f t="shared" si="59"/>
        <v/>
      </c>
      <c r="FF27" s="17" t="str">
        <f t="shared" si="59"/>
        <v/>
      </c>
      <c r="FG27" s="17" t="str">
        <f t="shared" si="59"/>
        <v/>
      </c>
      <c r="FH27" s="17" t="str">
        <f t="shared" si="59"/>
        <v/>
      </c>
      <c r="FI27" s="17" t="str">
        <f t="shared" si="59"/>
        <v/>
      </c>
      <c r="FJ27" s="17" t="str">
        <f t="shared" si="59"/>
        <v/>
      </c>
      <c r="FK27" s="17" t="str">
        <f t="shared" si="59"/>
        <v/>
      </c>
      <c r="FL27" s="17" t="str">
        <f t="shared" si="59"/>
        <v/>
      </c>
      <c r="FM27" s="17" t="str">
        <f t="shared" si="59"/>
        <v/>
      </c>
      <c r="FN27" s="17" t="str">
        <f t="shared" si="59"/>
        <v/>
      </c>
      <c r="FO27" s="17" t="str">
        <f t="shared" si="60"/>
        <v/>
      </c>
      <c r="FP27" s="17" t="str">
        <f t="shared" si="60"/>
        <v/>
      </c>
      <c r="FQ27" s="17" t="str">
        <f t="shared" si="60"/>
        <v/>
      </c>
      <c r="FR27" s="17" t="str">
        <f t="shared" si="60"/>
        <v/>
      </c>
      <c r="FS27" s="17" t="str">
        <f t="shared" si="60"/>
        <v/>
      </c>
      <c r="FT27" s="17" t="str">
        <f t="shared" si="60"/>
        <v/>
      </c>
      <c r="FU27" s="17" t="str">
        <f t="shared" si="60"/>
        <v/>
      </c>
      <c r="FV27" s="17" t="str">
        <f t="shared" si="60"/>
        <v/>
      </c>
      <c r="FW27" s="17" t="str">
        <f t="shared" si="60"/>
        <v/>
      </c>
      <c r="FX27" s="17" t="str">
        <f t="shared" si="60"/>
        <v/>
      </c>
      <c r="FY27" s="17" t="str">
        <f t="shared" si="61"/>
        <v/>
      </c>
      <c r="FZ27" s="17" t="str">
        <f t="shared" si="61"/>
        <v/>
      </c>
      <c r="GA27" s="17" t="str">
        <f t="shared" si="61"/>
        <v/>
      </c>
      <c r="GB27" s="17" t="str">
        <f t="shared" si="61"/>
        <v/>
      </c>
      <c r="GC27" s="17" t="str">
        <f t="shared" si="61"/>
        <v/>
      </c>
      <c r="GD27" s="17" t="str">
        <f t="shared" si="61"/>
        <v/>
      </c>
      <c r="GE27" s="17" t="str">
        <f t="shared" si="61"/>
        <v/>
      </c>
      <c r="GF27" s="17" t="str">
        <f t="shared" si="61"/>
        <v/>
      </c>
      <c r="GG27" s="17" t="str">
        <f t="shared" si="61"/>
        <v/>
      </c>
      <c r="GH27" s="17" t="str">
        <f t="shared" si="61"/>
        <v/>
      </c>
      <c r="GI27" s="17" t="str">
        <f t="shared" si="62"/>
        <v/>
      </c>
      <c r="GJ27" s="17" t="str">
        <f t="shared" si="62"/>
        <v/>
      </c>
      <c r="GK27" s="17" t="str">
        <f t="shared" si="62"/>
        <v/>
      </c>
      <c r="GL27" s="17" t="str">
        <f t="shared" si="62"/>
        <v/>
      </c>
      <c r="GM27" s="17" t="str">
        <f t="shared" si="62"/>
        <v/>
      </c>
      <c r="GN27" s="17" t="str">
        <f t="shared" si="62"/>
        <v/>
      </c>
      <c r="GO27" s="17" t="str">
        <f t="shared" si="62"/>
        <v/>
      </c>
      <c r="GP27" s="17" t="str">
        <f t="shared" si="62"/>
        <v/>
      </c>
      <c r="GQ27" s="17" t="str">
        <f t="shared" si="62"/>
        <v/>
      </c>
      <c r="GR27" s="17" t="str">
        <f t="shared" si="62"/>
        <v/>
      </c>
      <c r="GS27" s="17" t="str">
        <f t="shared" si="63"/>
        <v/>
      </c>
      <c r="GT27" s="17" t="str">
        <f t="shared" si="63"/>
        <v/>
      </c>
      <c r="GU27" s="17" t="str">
        <f t="shared" si="63"/>
        <v/>
      </c>
      <c r="GV27" s="17" t="str">
        <f t="shared" si="63"/>
        <v/>
      </c>
      <c r="GW27" s="17" t="str">
        <f t="shared" si="63"/>
        <v/>
      </c>
      <c r="GX27" s="17" t="str">
        <f t="shared" si="63"/>
        <v/>
      </c>
      <c r="GY27" s="17" t="str">
        <f t="shared" si="63"/>
        <v/>
      </c>
      <c r="GZ27" s="17" t="str">
        <f t="shared" si="63"/>
        <v/>
      </c>
      <c r="HA27" s="17" t="str">
        <f t="shared" si="63"/>
        <v/>
      </c>
      <c r="HB27" s="17" t="str">
        <f t="shared" si="63"/>
        <v/>
      </c>
      <c r="HC27" s="17" t="str">
        <f t="shared" si="64"/>
        <v/>
      </c>
      <c r="HD27" s="17" t="str">
        <f t="shared" si="64"/>
        <v/>
      </c>
      <c r="HE27" s="17" t="str">
        <f t="shared" si="64"/>
        <v/>
      </c>
      <c r="HF27" s="17" t="str">
        <f t="shared" si="64"/>
        <v/>
      </c>
      <c r="HG27" s="17" t="str">
        <f t="shared" si="64"/>
        <v/>
      </c>
      <c r="HH27" s="17" t="str">
        <f t="shared" si="64"/>
        <v/>
      </c>
      <c r="HI27" s="17" t="str">
        <f t="shared" si="64"/>
        <v/>
      </c>
      <c r="HJ27" s="17" t="str">
        <f t="shared" si="64"/>
        <v/>
      </c>
      <c r="HK27" s="17" t="str">
        <f t="shared" si="64"/>
        <v/>
      </c>
      <c r="HL27" s="17" t="str">
        <f t="shared" si="64"/>
        <v/>
      </c>
      <c r="HM27" s="17" t="str">
        <f t="shared" si="65"/>
        <v/>
      </c>
      <c r="HN27" s="17" t="str">
        <f t="shared" si="65"/>
        <v/>
      </c>
      <c r="HO27" s="17" t="str">
        <f t="shared" si="65"/>
        <v/>
      </c>
      <c r="HP27" s="17" t="str">
        <f t="shared" si="65"/>
        <v/>
      </c>
      <c r="HQ27" s="17" t="str">
        <f t="shared" si="65"/>
        <v/>
      </c>
      <c r="HR27" s="17" t="str">
        <f t="shared" si="65"/>
        <v/>
      </c>
      <c r="HS27" s="17" t="str">
        <f t="shared" si="65"/>
        <v/>
      </c>
      <c r="HT27" s="17" t="str">
        <f t="shared" si="65"/>
        <v/>
      </c>
      <c r="HU27" s="17" t="str">
        <f t="shared" si="65"/>
        <v/>
      </c>
      <c r="HV27" s="17" t="str">
        <f t="shared" si="65"/>
        <v/>
      </c>
      <c r="HW27" s="17" t="str">
        <f t="shared" si="65"/>
        <v/>
      </c>
      <c r="HX27" s="17" t="str">
        <f t="shared" si="65"/>
        <v/>
      </c>
      <c r="HY27" s="17" t="str">
        <f t="shared" si="65"/>
        <v/>
      </c>
      <c r="HZ27" s="17" t="str">
        <f t="shared" si="65"/>
        <v/>
      </c>
      <c r="IA27" s="17" t="str">
        <f t="shared" si="65"/>
        <v/>
      </c>
    </row>
    <row r="28" spans="1:235" ht="25.95" customHeight="1" x14ac:dyDescent="0.3">
      <c r="A28" s="7">
        <v>23</v>
      </c>
      <c r="B28" s="7">
        <f>Premissas!$B$6</f>
        <v>6</v>
      </c>
      <c r="C28" s="7">
        <f>22*Premissas!$B$8</f>
        <v>266.66666666666669</v>
      </c>
      <c r="D28" s="7">
        <f>C28+Premissas!$B$9</f>
        <v>314.66666666666669</v>
      </c>
      <c r="E28" s="7">
        <f>C28+Premissas!$B$11</f>
        <v>320.66666666666669</v>
      </c>
      <c r="F28" s="7">
        <f>E28+Premissas!$B$8</f>
        <v>332.78787878787881</v>
      </c>
      <c r="G28" s="7">
        <f>Premissas!$B$11</f>
        <v>54</v>
      </c>
      <c r="H28" s="7">
        <f>Premissas!$B$12</f>
        <v>3</v>
      </c>
      <c r="I28" s="7" t="s">
        <v>47</v>
      </c>
      <c r="J28" s="8" t="s">
        <v>48</v>
      </c>
      <c r="K28" s="17" t="str">
        <f t="shared" si="44"/>
        <v/>
      </c>
      <c r="L28" s="17" t="str">
        <f t="shared" si="44"/>
        <v/>
      </c>
      <c r="M28" s="17" t="str">
        <f t="shared" si="44"/>
        <v/>
      </c>
      <c r="N28" s="17" t="str">
        <f t="shared" si="44"/>
        <v/>
      </c>
      <c r="O28" s="17" t="str">
        <f t="shared" si="44"/>
        <v/>
      </c>
      <c r="P28" s="17" t="str">
        <f t="shared" si="44"/>
        <v/>
      </c>
      <c r="Q28" s="17" t="str">
        <f t="shared" si="44"/>
        <v/>
      </c>
      <c r="R28" s="17" t="str">
        <f t="shared" si="44"/>
        <v/>
      </c>
      <c r="S28" s="17" t="str">
        <f t="shared" si="44"/>
        <v/>
      </c>
      <c r="T28" s="17" t="str">
        <f t="shared" si="44"/>
        <v/>
      </c>
      <c r="U28" s="17" t="str">
        <f t="shared" si="45"/>
        <v/>
      </c>
      <c r="V28" s="17" t="str">
        <f t="shared" si="45"/>
        <v/>
      </c>
      <c r="W28" s="17" t="str">
        <f t="shared" si="45"/>
        <v/>
      </c>
      <c r="X28" s="17" t="str">
        <f t="shared" si="45"/>
        <v/>
      </c>
      <c r="Y28" s="17" t="str">
        <f t="shared" si="45"/>
        <v/>
      </c>
      <c r="Z28" s="17" t="str">
        <f t="shared" si="45"/>
        <v/>
      </c>
      <c r="AA28" s="17" t="str">
        <f t="shared" si="45"/>
        <v/>
      </c>
      <c r="AB28" s="17" t="str">
        <f t="shared" si="45"/>
        <v/>
      </c>
      <c r="AC28" s="17" t="str">
        <f t="shared" si="45"/>
        <v/>
      </c>
      <c r="AD28" s="17" t="str">
        <f t="shared" si="45"/>
        <v/>
      </c>
      <c r="AE28" s="17" t="str">
        <f t="shared" si="46"/>
        <v/>
      </c>
      <c r="AF28" s="17" t="str">
        <f t="shared" si="46"/>
        <v/>
      </c>
      <c r="AG28" s="17" t="str">
        <f t="shared" si="46"/>
        <v/>
      </c>
      <c r="AH28" s="17" t="str">
        <f t="shared" si="46"/>
        <v/>
      </c>
      <c r="AI28" s="17" t="str">
        <f t="shared" si="46"/>
        <v/>
      </c>
      <c r="AJ28" s="17" t="str">
        <f t="shared" si="46"/>
        <v/>
      </c>
      <c r="AK28" s="17" t="str">
        <f t="shared" si="46"/>
        <v/>
      </c>
      <c r="AL28" s="17" t="str">
        <f t="shared" si="46"/>
        <v/>
      </c>
      <c r="AM28" s="17" t="str">
        <f t="shared" si="46"/>
        <v/>
      </c>
      <c r="AN28" s="17" t="str">
        <f t="shared" si="46"/>
        <v/>
      </c>
      <c r="AO28" s="17" t="str">
        <f t="shared" si="47"/>
        <v/>
      </c>
      <c r="AP28" s="17" t="str">
        <f t="shared" si="47"/>
        <v/>
      </c>
      <c r="AQ28" s="17" t="str">
        <f t="shared" si="47"/>
        <v/>
      </c>
      <c r="AR28" s="17" t="str">
        <f t="shared" si="47"/>
        <v/>
      </c>
      <c r="AS28" s="17" t="str">
        <f t="shared" si="47"/>
        <v/>
      </c>
      <c r="AT28" s="17" t="str">
        <f t="shared" si="47"/>
        <v/>
      </c>
      <c r="AU28" s="17" t="str">
        <f t="shared" si="47"/>
        <v/>
      </c>
      <c r="AV28" s="17" t="str">
        <f t="shared" si="47"/>
        <v/>
      </c>
      <c r="AW28" s="17" t="str">
        <f t="shared" si="47"/>
        <v/>
      </c>
      <c r="AX28" s="17" t="str">
        <f t="shared" si="47"/>
        <v/>
      </c>
      <c r="AY28" s="17" t="str">
        <f t="shared" si="48"/>
        <v/>
      </c>
      <c r="AZ28" s="17" t="str">
        <f t="shared" si="48"/>
        <v/>
      </c>
      <c r="BA28" s="17" t="str">
        <f t="shared" si="48"/>
        <v/>
      </c>
      <c r="BB28" s="17" t="str">
        <f t="shared" si="48"/>
        <v/>
      </c>
      <c r="BC28" s="17" t="str">
        <f t="shared" si="48"/>
        <v/>
      </c>
      <c r="BD28" s="17" t="str">
        <f t="shared" si="48"/>
        <v/>
      </c>
      <c r="BE28" s="17" t="str">
        <f t="shared" si="48"/>
        <v/>
      </c>
      <c r="BF28" s="17" t="str">
        <f t="shared" si="48"/>
        <v/>
      </c>
      <c r="BG28" s="17" t="str">
        <f t="shared" si="48"/>
        <v/>
      </c>
      <c r="BH28" s="17" t="str">
        <f t="shared" si="48"/>
        <v/>
      </c>
      <c r="BI28" s="17" t="str">
        <f t="shared" si="49"/>
        <v/>
      </c>
      <c r="BJ28" s="17" t="str">
        <f t="shared" si="49"/>
        <v/>
      </c>
      <c r="BK28" s="17" t="str">
        <f t="shared" si="49"/>
        <v/>
      </c>
      <c r="BL28" s="17" t="str">
        <f t="shared" si="49"/>
        <v/>
      </c>
      <c r="BM28" s="17" t="str">
        <f t="shared" si="49"/>
        <v/>
      </c>
      <c r="BN28" s="17" t="str">
        <f t="shared" si="49"/>
        <v/>
      </c>
      <c r="BO28" s="17" t="str">
        <f t="shared" si="49"/>
        <v/>
      </c>
      <c r="BP28" s="17" t="str">
        <f t="shared" si="49"/>
        <v/>
      </c>
      <c r="BQ28" s="17" t="str">
        <f t="shared" si="49"/>
        <v/>
      </c>
      <c r="BR28" s="17" t="str">
        <f t="shared" si="49"/>
        <v/>
      </c>
      <c r="BS28" s="17" t="str">
        <f t="shared" si="50"/>
        <v/>
      </c>
      <c r="BT28" s="17" t="str">
        <f t="shared" si="50"/>
        <v/>
      </c>
      <c r="BU28" s="17" t="str">
        <f t="shared" si="50"/>
        <v/>
      </c>
      <c r="BV28" s="17" t="str">
        <f t="shared" si="50"/>
        <v/>
      </c>
      <c r="BW28" s="17" t="str">
        <f t="shared" si="50"/>
        <v/>
      </c>
      <c r="BX28" s="17" t="str">
        <f t="shared" si="50"/>
        <v/>
      </c>
      <c r="BY28" s="17" t="str">
        <f t="shared" si="50"/>
        <v/>
      </c>
      <c r="BZ28" s="17" t="str">
        <f t="shared" si="50"/>
        <v/>
      </c>
      <c r="CA28" s="17" t="str">
        <f t="shared" si="50"/>
        <v/>
      </c>
      <c r="CB28" s="17" t="str">
        <f t="shared" si="50"/>
        <v/>
      </c>
      <c r="CC28" s="17" t="str">
        <f t="shared" si="51"/>
        <v/>
      </c>
      <c r="CD28" s="17" t="str">
        <f t="shared" si="51"/>
        <v/>
      </c>
      <c r="CE28" s="17" t="str">
        <f t="shared" si="51"/>
        <v/>
      </c>
      <c r="CF28" s="17" t="str">
        <f t="shared" si="51"/>
        <v/>
      </c>
      <c r="CG28" s="17" t="str">
        <f t="shared" si="51"/>
        <v/>
      </c>
      <c r="CH28" s="17" t="str">
        <f t="shared" si="51"/>
        <v/>
      </c>
      <c r="CI28" s="17" t="str">
        <f t="shared" si="51"/>
        <v/>
      </c>
      <c r="CJ28" s="17" t="str">
        <f t="shared" si="51"/>
        <v/>
      </c>
      <c r="CK28" s="17" t="str">
        <f t="shared" si="51"/>
        <v/>
      </c>
      <c r="CL28" s="17" t="str">
        <f t="shared" si="51"/>
        <v/>
      </c>
      <c r="CM28" s="17" t="str">
        <f t="shared" si="52"/>
        <v/>
      </c>
      <c r="CN28" s="17" t="str">
        <f t="shared" si="52"/>
        <v/>
      </c>
      <c r="CO28" s="17" t="str">
        <f t="shared" si="52"/>
        <v/>
      </c>
      <c r="CP28" s="17" t="str">
        <f t="shared" si="52"/>
        <v/>
      </c>
      <c r="CQ28" s="17" t="str">
        <f t="shared" si="52"/>
        <v/>
      </c>
      <c r="CR28" s="17" t="str">
        <f t="shared" si="52"/>
        <v/>
      </c>
      <c r="CS28" s="17" t="str">
        <f t="shared" si="52"/>
        <v/>
      </c>
      <c r="CT28" s="17" t="str">
        <f t="shared" si="52"/>
        <v/>
      </c>
      <c r="CU28" s="17" t="str">
        <f t="shared" si="52"/>
        <v/>
      </c>
      <c r="CV28" s="17" t="str">
        <f t="shared" si="52"/>
        <v>R</v>
      </c>
      <c r="CW28" s="17" t="str">
        <f t="shared" si="53"/>
        <v>R</v>
      </c>
      <c r="CX28" s="17" t="str">
        <f t="shared" si="53"/>
        <v>R</v>
      </c>
      <c r="CY28" s="17" t="str">
        <f t="shared" si="53"/>
        <v>R</v>
      </c>
      <c r="CZ28" s="17" t="str">
        <f t="shared" si="53"/>
        <v>R</v>
      </c>
      <c r="DA28" s="17" t="str">
        <f t="shared" si="53"/>
        <v>R</v>
      </c>
      <c r="DB28" s="17" t="str">
        <f t="shared" si="53"/>
        <v>R</v>
      </c>
      <c r="DC28" s="17" t="str">
        <f t="shared" si="53"/>
        <v>R</v>
      </c>
      <c r="DD28" s="17" t="str">
        <f t="shared" si="53"/>
        <v>R</v>
      </c>
      <c r="DE28" s="17" t="str">
        <f t="shared" si="53"/>
        <v>R</v>
      </c>
      <c r="DF28" s="17" t="str">
        <f t="shared" si="53"/>
        <v>R</v>
      </c>
      <c r="DG28" s="17" t="str">
        <f t="shared" si="54"/>
        <v>R</v>
      </c>
      <c r="DH28" s="17" t="str">
        <f t="shared" si="54"/>
        <v>R</v>
      </c>
      <c r="DI28" s="17" t="str">
        <f t="shared" si="54"/>
        <v>R</v>
      </c>
      <c r="DJ28" s="17" t="str">
        <f t="shared" si="54"/>
        <v>R</v>
      </c>
      <c r="DK28" s="17" t="str">
        <f t="shared" si="54"/>
        <v>R</v>
      </c>
      <c r="DL28" s="17" t="str">
        <f t="shared" si="54"/>
        <v>P</v>
      </c>
      <c r="DM28" s="17" t="str">
        <f t="shared" si="54"/>
        <v>P</v>
      </c>
      <c r="DN28" s="17" t="str">
        <f t="shared" si="54"/>
        <v>T</v>
      </c>
      <c r="DO28" s="17" t="str">
        <f t="shared" si="54"/>
        <v>T</v>
      </c>
      <c r="DP28" s="17" t="str">
        <f t="shared" si="54"/>
        <v>T</v>
      </c>
      <c r="DQ28" s="17" t="str">
        <f t="shared" si="55"/>
        <v>T</v>
      </c>
      <c r="DR28" s="17" t="str">
        <f t="shared" si="55"/>
        <v/>
      </c>
      <c r="DS28" s="17" t="str">
        <f t="shared" si="55"/>
        <v/>
      </c>
      <c r="DT28" s="17" t="str">
        <f t="shared" si="55"/>
        <v/>
      </c>
      <c r="DU28" s="17" t="str">
        <f t="shared" si="55"/>
        <v/>
      </c>
      <c r="DV28" s="17" t="str">
        <f t="shared" si="55"/>
        <v/>
      </c>
      <c r="DW28" s="17" t="str">
        <f t="shared" si="55"/>
        <v/>
      </c>
      <c r="DX28" s="17" t="str">
        <f t="shared" si="55"/>
        <v/>
      </c>
      <c r="DY28" s="17" t="str">
        <f t="shared" si="55"/>
        <v/>
      </c>
      <c r="DZ28" s="17" t="str">
        <f t="shared" si="55"/>
        <v/>
      </c>
      <c r="EA28" s="17" t="str">
        <f t="shared" si="56"/>
        <v/>
      </c>
      <c r="EB28" s="17" t="str">
        <f t="shared" si="56"/>
        <v/>
      </c>
      <c r="EC28" s="17" t="str">
        <f t="shared" si="56"/>
        <v/>
      </c>
      <c r="ED28" s="17" t="str">
        <f t="shared" si="56"/>
        <v/>
      </c>
      <c r="EE28" s="17" t="str">
        <f t="shared" si="56"/>
        <v/>
      </c>
      <c r="EF28" s="17" t="str">
        <f t="shared" si="56"/>
        <v/>
      </c>
      <c r="EG28" s="17" t="str">
        <f t="shared" si="56"/>
        <v/>
      </c>
      <c r="EH28" s="17" t="str">
        <f t="shared" si="56"/>
        <v/>
      </c>
      <c r="EI28" s="17" t="str">
        <f t="shared" si="56"/>
        <v/>
      </c>
      <c r="EJ28" s="17" t="str">
        <f t="shared" si="56"/>
        <v/>
      </c>
      <c r="EK28" s="17" t="str">
        <f t="shared" si="57"/>
        <v/>
      </c>
      <c r="EL28" s="17" t="str">
        <f t="shared" si="57"/>
        <v/>
      </c>
      <c r="EM28" s="17" t="str">
        <f t="shared" si="57"/>
        <v/>
      </c>
      <c r="EN28" s="17" t="str">
        <f t="shared" si="57"/>
        <v/>
      </c>
      <c r="EO28" s="17" t="str">
        <f t="shared" si="57"/>
        <v/>
      </c>
      <c r="EP28" s="17" t="str">
        <f t="shared" si="57"/>
        <v/>
      </c>
      <c r="EQ28" s="17" t="str">
        <f t="shared" si="57"/>
        <v/>
      </c>
      <c r="ER28" s="17" t="str">
        <f t="shared" si="57"/>
        <v/>
      </c>
      <c r="ES28" s="17" t="str">
        <f t="shared" si="57"/>
        <v/>
      </c>
      <c r="ET28" s="17" t="str">
        <f t="shared" si="57"/>
        <v/>
      </c>
      <c r="EU28" s="17" t="str">
        <f t="shared" si="58"/>
        <v/>
      </c>
      <c r="EV28" s="17" t="str">
        <f t="shared" si="58"/>
        <v/>
      </c>
      <c r="EW28" s="17" t="str">
        <f t="shared" si="58"/>
        <v/>
      </c>
      <c r="EX28" s="17" t="str">
        <f t="shared" si="58"/>
        <v/>
      </c>
      <c r="EY28" s="17" t="str">
        <f t="shared" si="58"/>
        <v/>
      </c>
      <c r="EZ28" s="17" t="str">
        <f t="shared" si="58"/>
        <v/>
      </c>
      <c r="FA28" s="17" t="str">
        <f t="shared" si="58"/>
        <v/>
      </c>
      <c r="FB28" s="17" t="str">
        <f t="shared" si="58"/>
        <v/>
      </c>
      <c r="FC28" s="17" t="str">
        <f t="shared" si="58"/>
        <v/>
      </c>
      <c r="FD28" s="17" t="str">
        <f t="shared" si="58"/>
        <v/>
      </c>
      <c r="FE28" s="17" t="str">
        <f t="shared" si="59"/>
        <v/>
      </c>
      <c r="FF28" s="17" t="str">
        <f t="shared" si="59"/>
        <v/>
      </c>
      <c r="FG28" s="17" t="str">
        <f t="shared" si="59"/>
        <v/>
      </c>
      <c r="FH28" s="17" t="str">
        <f t="shared" si="59"/>
        <v/>
      </c>
      <c r="FI28" s="17" t="str">
        <f t="shared" si="59"/>
        <v/>
      </c>
      <c r="FJ28" s="17" t="str">
        <f t="shared" si="59"/>
        <v/>
      </c>
      <c r="FK28" s="17" t="str">
        <f t="shared" si="59"/>
        <v/>
      </c>
      <c r="FL28" s="17" t="str">
        <f t="shared" si="59"/>
        <v/>
      </c>
      <c r="FM28" s="17" t="str">
        <f t="shared" si="59"/>
        <v/>
      </c>
      <c r="FN28" s="17" t="str">
        <f t="shared" si="59"/>
        <v/>
      </c>
      <c r="FO28" s="17" t="str">
        <f t="shared" si="60"/>
        <v/>
      </c>
      <c r="FP28" s="17" t="str">
        <f t="shared" si="60"/>
        <v/>
      </c>
      <c r="FQ28" s="17" t="str">
        <f t="shared" si="60"/>
        <v/>
      </c>
      <c r="FR28" s="17" t="str">
        <f t="shared" si="60"/>
        <v/>
      </c>
      <c r="FS28" s="17" t="str">
        <f t="shared" si="60"/>
        <v/>
      </c>
      <c r="FT28" s="17" t="str">
        <f t="shared" si="60"/>
        <v/>
      </c>
      <c r="FU28" s="17" t="str">
        <f t="shared" si="60"/>
        <v/>
      </c>
      <c r="FV28" s="17" t="str">
        <f t="shared" si="60"/>
        <v/>
      </c>
      <c r="FW28" s="17" t="str">
        <f t="shared" si="60"/>
        <v/>
      </c>
      <c r="FX28" s="17" t="str">
        <f t="shared" si="60"/>
        <v/>
      </c>
      <c r="FY28" s="17" t="str">
        <f t="shared" si="61"/>
        <v/>
      </c>
      <c r="FZ28" s="17" t="str">
        <f t="shared" si="61"/>
        <v/>
      </c>
      <c r="GA28" s="17" t="str">
        <f t="shared" si="61"/>
        <v/>
      </c>
      <c r="GB28" s="17" t="str">
        <f t="shared" si="61"/>
        <v/>
      </c>
      <c r="GC28" s="17" t="str">
        <f t="shared" si="61"/>
        <v/>
      </c>
      <c r="GD28" s="17" t="str">
        <f t="shared" si="61"/>
        <v/>
      </c>
      <c r="GE28" s="17" t="str">
        <f t="shared" si="61"/>
        <v/>
      </c>
      <c r="GF28" s="17" t="str">
        <f t="shared" si="61"/>
        <v/>
      </c>
      <c r="GG28" s="17" t="str">
        <f t="shared" si="61"/>
        <v/>
      </c>
      <c r="GH28" s="17" t="str">
        <f t="shared" si="61"/>
        <v/>
      </c>
      <c r="GI28" s="17" t="str">
        <f t="shared" si="62"/>
        <v/>
      </c>
      <c r="GJ28" s="17" t="str">
        <f t="shared" si="62"/>
        <v/>
      </c>
      <c r="GK28" s="17" t="str">
        <f t="shared" si="62"/>
        <v/>
      </c>
      <c r="GL28" s="17" t="str">
        <f t="shared" si="62"/>
        <v/>
      </c>
      <c r="GM28" s="17" t="str">
        <f t="shared" si="62"/>
        <v/>
      </c>
      <c r="GN28" s="17" t="str">
        <f t="shared" si="62"/>
        <v/>
      </c>
      <c r="GO28" s="17" t="str">
        <f t="shared" si="62"/>
        <v/>
      </c>
      <c r="GP28" s="17" t="str">
        <f t="shared" si="62"/>
        <v/>
      </c>
      <c r="GQ28" s="17" t="str">
        <f t="shared" si="62"/>
        <v/>
      </c>
      <c r="GR28" s="17" t="str">
        <f t="shared" si="62"/>
        <v/>
      </c>
      <c r="GS28" s="17" t="str">
        <f t="shared" si="63"/>
        <v/>
      </c>
      <c r="GT28" s="17" t="str">
        <f t="shared" si="63"/>
        <v/>
      </c>
      <c r="GU28" s="17" t="str">
        <f t="shared" si="63"/>
        <v/>
      </c>
      <c r="GV28" s="17" t="str">
        <f t="shared" si="63"/>
        <v/>
      </c>
      <c r="GW28" s="17" t="str">
        <f t="shared" si="63"/>
        <v/>
      </c>
      <c r="GX28" s="17" t="str">
        <f t="shared" si="63"/>
        <v/>
      </c>
      <c r="GY28" s="17" t="str">
        <f t="shared" si="63"/>
        <v/>
      </c>
      <c r="GZ28" s="17" t="str">
        <f t="shared" si="63"/>
        <v/>
      </c>
      <c r="HA28" s="17" t="str">
        <f t="shared" si="63"/>
        <v/>
      </c>
      <c r="HB28" s="17" t="str">
        <f t="shared" si="63"/>
        <v/>
      </c>
      <c r="HC28" s="17" t="str">
        <f t="shared" si="64"/>
        <v/>
      </c>
      <c r="HD28" s="17" t="str">
        <f t="shared" si="64"/>
        <v/>
      </c>
      <c r="HE28" s="17" t="str">
        <f t="shared" si="64"/>
        <v/>
      </c>
      <c r="HF28" s="17" t="str">
        <f t="shared" si="64"/>
        <v/>
      </c>
      <c r="HG28" s="17" t="str">
        <f t="shared" si="64"/>
        <v/>
      </c>
      <c r="HH28" s="17" t="str">
        <f t="shared" si="64"/>
        <v/>
      </c>
      <c r="HI28" s="17" t="str">
        <f t="shared" si="64"/>
        <v/>
      </c>
      <c r="HJ28" s="17" t="str">
        <f t="shared" si="64"/>
        <v/>
      </c>
      <c r="HK28" s="17" t="str">
        <f t="shared" si="64"/>
        <v/>
      </c>
      <c r="HL28" s="17" t="str">
        <f t="shared" si="64"/>
        <v/>
      </c>
      <c r="HM28" s="17" t="str">
        <f t="shared" si="65"/>
        <v/>
      </c>
      <c r="HN28" s="17" t="str">
        <f t="shared" si="65"/>
        <v/>
      </c>
      <c r="HO28" s="17" t="str">
        <f t="shared" si="65"/>
        <v/>
      </c>
      <c r="HP28" s="17" t="str">
        <f t="shared" si="65"/>
        <v/>
      </c>
      <c r="HQ28" s="17" t="str">
        <f t="shared" si="65"/>
        <v/>
      </c>
      <c r="HR28" s="17" t="str">
        <f t="shared" si="65"/>
        <v/>
      </c>
      <c r="HS28" s="17" t="str">
        <f t="shared" si="65"/>
        <v/>
      </c>
      <c r="HT28" s="17" t="str">
        <f t="shared" si="65"/>
        <v/>
      </c>
      <c r="HU28" s="17" t="str">
        <f t="shared" si="65"/>
        <v/>
      </c>
      <c r="HV28" s="17" t="str">
        <f t="shared" si="65"/>
        <v/>
      </c>
      <c r="HW28" s="17" t="str">
        <f t="shared" si="65"/>
        <v/>
      </c>
      <c r="HX28" s="17" t="str">
        <f t="shared" si="65"/>
        <v/>
      </c>
      <c r="HY28" s="17" t="str">
        <f t="shared" si="65"/>
        <v/>
      </c>
      <c r="HZ28" s="17" t="str">
        <f t="shared" si="65"/>
        <v/>
      </c>
      <c r="IA28" s="17" t="str">
        <f t="shared" si="65"/>
        <v/>
      </c>
    </row>
    <row r="29" spans="1:235" ht="25.95" customHeight="1" x14ac:dyDescent="0.3">
      <c r="A29" s="7">
        <v>24</v>
      </c>
      <c r="B29" s="7">
        <f>Premissas!$B$6</f>
        <v>6</v>
      </c>
      <c r="C29" s="7">
        <f>23*Premissas!$B$8</f>
        <v>278.78787878787881</v>
      </c>
      <c r="D29" s="7">
        <f>C29+Premissas!$B$9</f>
        <v>326.78787878787881</v>
      </c>
      <c r="E29" s="7">
        <f>C29+Premissas!$B$11</f>
        <v>332.78787878787881</v>
      </c>
      <c r="F29" s="7">
        <f>E29+Premissas!$B$8</f>
        <v>344.90909090909093</v>
      </c>
      <c r="G29" s="7">
        <f>Premissas!$B$11</f>
        <v>54</v>
      </c>
      <c r="H29" s="7">
        <f>Premissas!$B$12</f>
        <v>3</v>
      </c>
      <c r="I29" s="7" t="s">
        <v>47</v>
      </c>
      <c r="J29" s="8" t="s">
        <v>48</v>
      </c>
      <c r="K29" s="17" t="str">
        <f t="shared" si="44"/>
        <v/>
      </c>
      <c r="L29" s="17" t="str">
        <f t="shared" si="44"/>
        <v/>
      </c>
      <c r="M29" s="17" t="str">
        <f t="shared" si="44"/>
        <v/>
      </c>
      <c r="N29" s="17" t="str">
        <f t="shared" si="44"/>
        <v/>
      </c>
      <c r="O29" s="17" t="str">
        <f t="shared" si="44"/>
        <v/>
      </c>
      <c r="P29" s="17" t="str">
        <f t="shared" si="44"/>
        <v/>
      </c>
      <c r="Q29" s="17" t="str">
        <f t="shared" si="44"/>
        <v/>
      </c>
      <c r="R29" s="17" t="str">
        <f t="shared" si="44"/>
        <v/>
      </c>
      <c r="S29" s="17" t="str">
        <f t="shared" si="44"/>
        <v/>
      </c>
      <c r="T29" s="17" t="str">
        <f t="shared" si="44"/>
        <v/>
      </c>
      <c r="U29" s="17" t="str">
        <f t="shared" si="45"/>
        <v/>
      </c>
      <c r="V29" s="17" t="str">
        <f t="shared" si="45"/>
        <v/>
      </c>
      <c r="W29" s="17" t="str">
        <f t="shared" si="45"/>
        <v/>
      </c>
      <c r="X29" s="17" t="str">
        <f t="shared" si="45"/>
        <v/>
      </c>
      <c r="Y29" s="17" t="str">
        <f t="shared" si="45"/>
        <v/>
      </c>
      <c r="Z29" s="17" t="str">
        <f t="shared" si="45"/>
        <v/>
      </c>
      <c r="AA29" s="17" t="str">
        <f t="shared" si="45"/>
        <v/>
      </c>
      <c r="AB29" s="17" t="str">
        <f t="shared" si="45"/>
        <v/>
      </c>
      <c r="AC29" s="17" t="str">
        <f t="shared" si="45"/>
        <v/>
      </c>
      <c r="AD29" s="17" t="str">
        <f t="shared" si="45"/>
        <v/>
      </c>
      <c r="AE29" s="17" t="str">
        <f t="shared" si="46"/>
        <v/>
      </c>
      <c r="AF29" s="17" t="str">
        <f t="shared" si="46"/>
        <v/>
      </c>
      <c r="AG29" s="17" t="str">
        <f t="shared" si="46"/>
        <v/>
      </c>
      <c r="AH29" s="17" t="str">
        <f t="shared" si="46"/>
        <v/>
      </c>
      <c r="AI29" s="17" t="str">
        <f t="shared" si="46"/>
        <v/>
      </c>
      <c r="AJ29" s="17" t="str">
        <f t="shared" si="46"/>
        <v/>
      </c>
      <c r="AK29" s="17" t="str">
        <f t="shared" si="46"/>
        <v/>
      </c>
      <c r="AL29" s="17" t="str">
        <f t="shared" si="46"/>
        <v/>
      </c>
      <c r="AM29" s="17" t="str">
        <f t="shared" si="46"/>
        <v/>
      </c>
      <c r="AN29" s="17" t="str">
        <f t="shared" si="46"/>
        <v/>
      </c>
      <c r="AO29" s="17" t="str">
        <f t="shared" si="47"/>
        <v/>
      </c>
      <c r="AP29" s="17" t="str">
        <f t="shared" si="47"/>
        <v/>
      </c>
      <c r="AQ29" s="17" t="str">
        <f t="shared" si="47"/>
        <v/>
      </c>
      <c r="AR29" s="17" t="str">
        <f t="shared" si="47"/>
        <v/>
      </c>
      <c r="AS29" s="17" t="str">
        <f t="shared" si="47"/>
        <v/>
      </c>
      <c r="AT29" s="17" t="str">
        <f t="shared" si="47"/>
        <v/>
      </c>
      <c r="AU29" s="17" t="str">
        <f t="shared" si="47"/>
        <v/>
      </c>
      <c r="AV29" s="17" t="str">
        <f t="shared" si="47"/>
        <v/>
      </c>
      <c r="AW29" s="17" t="str">
        <f t="shared" si="47"/>
        <v/>
      </c>
      <c r="AX29" s="17" t="str">
        <f t="shared" si="47"/>
        <v/>
      </c>
      <c r="AY29" s="17" t="str">
        <f t="shared" si="48"/>
        <v/>
      </c>
      <c r="AZ29" s="17" t="str">
        <f t="shared" si="48"/>
        <v/>
      </c>
      <c r="BA29" s="17" t="str">
        <f t="shared" si="48"/>
        <v/>
      </c>
      <c r="BB29" s="17" t="str">
        <f t="shared" si="48"/>
        <v/>
      </c>
      <c r="BC29" s="17" t="str">
        <f t="shared" si="48"/>
        <v/>
      </c>
      <c r="BD29" s="17" t="str">
        <f t="shared" si="48"/>
        <v/>
      </c>
      <c r="BE29" s="17" t="str">
        <f t="shared" si="48"/>
        <v/>
      </c>
      <c r="BF29" s="17" t="str">
        <f t="shared" si="48"/>
        <v/>
      </c>
      <c r="BG29" s="17" t="str">
        <f t="shared" si="48"/>
        <v/>
      </c>
      <c r="BH29" s="17" t="str">
        <f t="shared" si="48"/>
        <v/>
      </c>
      <c r="BI29" s="17" t="str">
        <f t="shared" si="49"/>
        <v/>
      </c>
      <c r="BJ29" s="17" t="str">
        <f t="shared" si="49"/>
        <v/>
      </c>
      <c r="BK29" s="17" t="str">
        <f t="shared" si="49"/>
        <v/>
      </c>
      <c r="BL29" s="17" t="str">
        <f t="shared" si="49"/>
        <v/>
      </c>
      <c r="BM29" s="17" t="str">
        <f t="shared" si="49"/>
        <v/>
      </c>
      <c r="BN29" s="17" t="str">
        <f t="shared" si="49"/>
        <v/>
      </c>
      <c r="BO29" s="17" t="str">
        <f t="shared" si="49"/>
        <v/>
      </c>
      <c r="BP29" s="17" t="str">
        <f t="shared" si="49"/>
        <v/>
      </c>
      <c r="BQ29" s="17" t="str">
        <f t="shared" si="49"/>
        <v/>
      </c>
      <c r="BR29" s="17" t="str">
        <f t="shared" si="49"/>
        <v/>
      </c>
      <c r="BS29" s="17" t="str">
        <f t="shared" si="50"/>
        <v/>
      </c>
      <c r="BT29" s="17" t="str">
        <f t="shared" si="50"/>
        <v/>
      </c>
      <c r="BU29" s="17" t="str">
        <f t="shared" si="50"/>
        <v/>
      </c>
      <c r="BV29" s="17" t="str">
        <f t="shared" si="50"/>
        <v/>
      </c>
      <c r="BW29" s="17" t="str">
        <f t="shared" si="50"/>
        <v/>
      </c>
      <c r="BX29" s="17" t="str">
        <f t="shared" si="50"/>
        <v/>
      </c>
      <c r="BY29" s="17" t="str">
        <f t="shared" si="50"/>
        <v/>
      </c>
      <c r="BZ29" s="17" t="str">
        <f t="shared" si="50"/>
        <v/>
      </c>
      <c r="CA29" s="17" t="str">
        <f t="shared" si="50"/>
        <v/>
      </c>
      <c r="CB29" s="17" t="str">
        <f t="shared" si="50"/>
        <v/>
      </c>
      <c r="CC29" s="17" t="str">
        <f t="shared" si="51"/>
        <v/>
      </c>
      <c r="CD29" s="17" t="str">
        <f t="shared" si="51"/>
        <v/>
      </c>
      <c r="CE29" s="17" t="str">
        <f t="shared" si="51"/>
        <v/>
      </c>
      <c r="CF29" s="17" t="str">
        <f t="shared" si="51"/>
        <v/>
      </c>
      <c r="CG29" s="17" t="str">
        <f t="shared" si="51"/>
        <v/>
      </c>
      <c r="CH29" s="17" t="str">
        <f t="shared" si="51"/>
        <v/>
      </c>
      <c r="CI29" s="17" t="str">
        <f t="shared" si="51"/>
        <v/>
      </c>
      <c r="CJ29" s="17" t="str">
        <f t="shared" si="51"/>
        <v/>
      </c>
      <c r="CK29" s="17" t="str">
        <f t="shared" si="51"/>
        <v/>
      </c>
      <c r="CL29" s="17" t="str">
        <f t="shared" si="51"/>
        <v/>
      </c>
      <c r="CM29" s="17" t="str">
        <f t="shared" si="52"/>
        <v/>
      </c>
      <c r="CN29" s="17" t="str">
        <f t="shared" si="52"/>
        <v/>
      </c>
      <c r="CO29" s="17" t="str">
        <f t="shared" si="52"/>
        <v/>
      </c>
      <c r="CP29" s="17" t="str">
        <f t="shared" si="52"/>
        <v/>
      </c>
      <c r="CQ29" s="17" t="str">
        <f t="shared" si="52"/>
        <v/>
      </c>
      <c r="CR29" s="17" t="str">
        <f t="shared" si="52"/>
        <v/>
      </c>
      <c r="CS29" s="17" t="str">
        <f t="shared" si="52"/>
        <v/>
      </c>
      <c r="CT29" s="17" t="str">
        <f t="shared" si="52"/>
        <v/>
      </c>
      <c r="CU29" s="17" t="str">
        <f t="shared" si="52"/>
        <v/>
      </c>
      <c r="CV29" s="17" t="str">
        <f t="shared" si="52"/>
        <v/>
      </c>
      <c r="CW29" s="17" t="str">
        <f t="shared" si="53"/>
        <v/>
      </c>
      <c r="CX29" s="17" t="str">
        <f t="shared" si="53"/>
        <v/>
      </c>
      <c r="CY29" s="17" t="str">
        <f t="shared" si="53"/>
        <v/>
      </c>
      <c r="CZ29" s="17" t="str">
        <f t="shared" si="53"/>
        <v>R</v>
      </c>
      <c r="DA29" s="17" t="str">
        <f t="shared" si="53"/>
        <v>R</v>
      </c>
      <c r="DB29" s="17" t="str">
        <f t="shared" si="53"/>
        <v>R</v>
      </c>
      <c r="DC29" s="17" t="str">
        <f t="shared" si="53"/>
        <v>R</v>
      </c>
      <c r="DD29" s="17" t="str">
        <f t="shared" si="53"/>
        <v>R</v>
      </c>
      <c r="DE29" s="17" t="str">
        <f t="shared" si="53"/>
        <v>R</v>
      </c>
      <c r="DF29" s="17" t="str">
        <f t="shared" si="53"/>
        <v>R</v>
      </c>
      <c r="DG29" s="17" t="str">
        <f t="shared" si="54"/>
        <v>R</v>
      </c>
      <c r="DH29" s="17" t="str">
        <f t="shared" si="54"/>
        <v>R</v>
      </c>
      <c r="DI29" s="17" t="str">
        <f t="shared" si="54"/>
        <v>R</v>
      </c>
      <c r="DJ29" s="17" t="str">
        <f t="shared" si="54"/>
        <v>R</v>
      </c>
      <c r="DK29" s="17" t="str">
        <f t="shared" si="54"/>
        <v>R</v>
      </c>
      <c r="DL29" s="17" t="str">
        <f t="shared" si="54"/>
        <v>R</v>
      </c>
      <c r="DM29" s="17" t="str">
        <f t="shared" si="54"/>
        <v>R</v>
      </c>
      <c r="DN29" s="17" t="str">
        <f t="shared" si="54"/>
        <v>R</v>
      </c>
      <c r="DO29" s="17" t="str">
        <f t="shared" si="54"/>
        <v>R</v>
      </c>
      <c r="DP29" s="17" t="str">
        <f t="shared" si="54"/>
        <v>P</v>
      </c>
      <c r="DQ29" s="17" t="str">
        <f t="shared" si="55"/>
        <v>P</v>
      </c>
      <c r="DR29" s="17" t="str">
        <f t="shared" si="55"/>
        <v>T</v>
      </c>
      <c r="DS29" s="17" t="str">
        <f t="shared" si="55"/>
        <v>T</v>
      </c>
      <c r="DT29" s="17" t="str">
        <f t="shared" si="55"/>
        <v>T</v>
      </c>
      <c r="DU29" s="17" t="str">
        <f t="shared" si="55"/>
        <v>T</v>
      </c>
      <c r="DV29" s="17" t="str">
        <f t="shared" si="55"/>
        <v/>
      </c>
      <c r="DW29" s="17" t="str">
        <f t="shared" si="55"/>
        <v/>
      </c>
      <c r="DX29" s="17" t="str">
        <f t="shared" si="55"/>
        <v/>
      </c>
      <c r="DY29" s="17" t="str">
        <f t="shared" si="55"/>
        <v/>
      </c>
      <c r="DZ29" s="17" t="str">
        <f t="shared" si="55"/>
        <v/>
      </c>
      <c r="EA29" s="17" t="str">
        <f t="shared" si="56"/>
        <v/>
      </c>
      <c r="EB29" s="17" t="str">
        <f t="shared" si="56"/>
        <v/>
      </c>
      <c r="EC29" s="17" t="str">
        <f t="shared" si="56"/>
        <v/>
      </c>
      <c r="ED29" s="17" t="str">
        <f t="shared" si="56"/>
        <v/>
      </c>
      <c r="EE29" s="17" t="str">
        <f t="shared" si="56"/>
        <v/>
      </c>
      <c r="EF29" s="17" t="str">
        <f t="shared" si="56"/>
        <v/>
      </c>
      <c r="EG29" s="17" t="str">
        <f t="shared" si="56"/>
        <v/>
      </c>
      <c r="EH29" s="17" t="str">
        <f t="shared" si="56"/>
        <v/>
      </c>
      <c r="EI29" s="17" t="str">
        <f t="shared" si="56"/>
        <v/>
      </c>
      <c r="EJ29" s="17" t="str">
        <f t="shared" si="56"/>
        <v/>
      </c>
      <c r="EK29" s="17" t="str">
        <f t="shared" si="57"/>
        <v/>
      </c>
      <c r="EL29" s="17" t="str">
        <f t="shared" si="57"/>
        <v/>
      </c>
      <c r="EM29" s="17" t="str">
        <f t="shared" si="57"/>
        <v/>
      </c>
      <c r="EN29" s="17" t="str">
        <f t="shared" si="57"/>
        <v/>
      </c>
      <c r="EO29" s="17" t="str">
        <f t="shared" si="57"/>
        <v/>
      </c>
      <c r="EP29" s="17" t="str">
        <f t="shared" si="57"/>
        <v/>
      </c>
      <c r="EQ29" s="17" t="str">
        <f t="shared" si="57"/>
        <v/>
      </c>
      <c r="ER29" s="17" t="str">
        <f t="shared" si="57"/>
        <v/>
      </c>
      <c r="ES29" s="17" t="str">
        <f t="shared" si="57"/>
        <v/>
      </c>
      <c r="ET29" s="17" t="str">
        <f t="shared" si="57"/>
        <v/>
      </c>
      <c r="EU29" s="17" t="str">
        <f t="shared" si="58"/>
        <v/>
      </c>
      <c r="EV29" s="17" t="str">
        <f t="shared" si="58"/>
        <v/>
      </c>
      <c r="EW29" s="17" t="str">
        <f t="shared" si="58"/>
        <v/>
      </c>
      <c r="EX29" s="17" t="str">
        <f t="shared" si="58"/>
        <v/>
      </c>
      <c r="EY29" s="17" t="str">
        <f t="shared" si="58"/>
        <v/>
      </c>
      <c r="EZ29" s="17" t="str">
        <f t="shared" si="58"/>
        <v/>
      </c>
      <c r="FA29" s="17" t="str">
        <f t="shared" si="58"/>
        <v/>
      </c>
      <c r="FB29" s="17" t="str">
        <f t="shared" si="58"/>
        <v/>
      </c>
      <c r="FC29" s="17" t="str">
        <f t="shared" si="58"/>
        <v/>
      </c>
      <c r="FD29" s="17" t="str">
        <f t="shared" si="58"/>
        <v/>
      </c>
      <c r="FE29" s="17" t="str">
        <f t="shared" si="59"/>
        <v/>
      </c>
      <c r="FF29" s="17" t="str">
        <f t="shared" si="59"/>
        <v/>
      </c>
      <c r="FG29" s="17" t="str">
        <f t="shared" si="59"/>
        <v/>
      </c>
      <c r="FH29" s="17" t="str">
        <f t="shared" si="59"/>
        <v/>
      </c>
      <c r="FI29" s="17" t="str">
        <f t="shared" si="59"/>
        <v/>
      </c>
      <c r="FJ29" s="17" t="str">
        <f t="shared" si="59"/>
        <v/>
      </c>
      <c r="FK29" s="17" t="str">
        <f t="shared" si="59"/>
        <v/>
      </c>
      <c r="FL29" s="17" t="str">
        <f t="shared" si="59"/>
        <v/>
      </c>
      <c r="FM29" s="17" t="str">
        <f t="shared" si="59"/>
        <v/>
      </c>
      <c r="FN29" s="17" t="str">
        <f t="shared" si="59"/>
        <v/>
      </c>
      <c r="FO29" s="17" t="str">
        <f t="shared" si="60"/>
        <v/>
      </c>
      <c r="FP29" s="17" t="str">
        <f t="shared" si="60"/>
        <v/>
      </c>
      <c r="FQ29" s="17" t="str">
        <f t="shared" si="60"/>
        <v/>
      </c>
      <c r="FR29" s="17" t="str">
        <f t="shared" si="60"/>
        <v/>
      </c>
      <c r="FS29" s="17" t="str">
        <f t="shared" si="60"/>
        <v/>
      </c>
      <c r="FT29" s="17" t="str">
        <f t="shared" si="60"/>
        <v/>
      </c>
      <c r="FU29" s="17" t="str">
        <f t="shared" si="60"/>
        <v/>
      </c>
      <c r="FV29" s="17" t="str">
        <f t="shared" si="60"/>
        <v/>
      </c>
      <c r="FW29" s="17" t="str">
        <f t="shared" si="60"/>
        <v/>
      </c>
      <c r="FX29" s="17" t="str">
        <f t="shared" si="60"/>
        <v/>
      </c>
      <c r="FY29" s="17" t="str">
        <f t="shared" si="61"/>
        <v/>
      </c>
      <c r="FZ29" s="17" t="str">
        <f t="shared" si="61"/>
        <v/>
      </c>
      <c r="GA29" s="17" t="str">
        <f t="shared" si="61"/>
        <v/>
      </c>
      <c r="GB29" s="17" t="str">
        <f t="shared" si="61"/>
        <v/>
      </c>
      <c r="GC29" s="17" t="str">
        <f t="shared" si="61"/>
        <v/>
      </c>
      <c r="GD29" s="17" t="str">
        <f t="shared" si="61"/>
        <v/>
      </c>
      <c r="GE29" s="17" t="str">
        <f t="shared" si="61"/>
        <v/>
      </c>
      <c r="GF29" s="17" t="str">
        <f t="shared" si="61"/>
        <v/>
      </c>
      <c r="GG29" s="17" t="str">
        <f t="shared" si="61"/>
        <v/>
      </c>
      <c r="GH29" s="17" t="str">
        <f t="shared" si="61"/>
        <v/>
      </c>
      <c r="GI29" s="17" t="str">
        <f t="shared" si="62"/>
        <v/>
      </c>
      <c r="GJ29" s="17" t="str">
        <f t="shared" si="62"/>
        <v/>
      </c>
      <c r="GK29" s="17" t="str">
        <f t="shared" si="62"/>
        <v/>
      </c>
      <c r="GL29" s="17" t="str">
        <f t="shared" si="62"/>
        <v/>
      </c>
      <c r="GM29" s="17" t="str">
        <f t="shared" si="62"/>
        <v/>
      </c>
      <c r="GN29" s="17" t="str">
        <f t="shared" si="62"/>
        <v/>
      </c>
      <c r="GO29" s="17" t="str">
        <f t="shared" si="62"/>
        <v/>
      </c>
      <c r="GP29" s="17" t="str">
        <f t="shared" si="62"/>
        <v/>
      </c>
      <c r="GQ29" s="17" t="str">
        <f t="shared" si="62"/>
        <v/>
      </c>
      <c r="GR29" s="17" t="str">
        <f t="shared" si="62"/>
        <v/>
      </c>
      <c r="GS29" s="17" t="str">
        <f t="shared" si="63"/>
        <v/>
      </c>
      <c r="GT29" s="17" t="str">
        <f t="shared" si="63"/>
        <v/>
      </c>
      <c r="GU29" s="17" t="str">
        <f t="shared" si="63"/>
        <v/>
      </c>
      <c r="GV29" s="17" t="str">
        <f t="shared" si="63"/>
        <v/>
      </c>
      <c r="GW29" s="17" t="str">
        <f t="shared" si="63"/>
        <v/>
      </c>
      <c r="GX29" s="17" t="str">
        <f t="shared" si="63"/>
        <v/>
      </c>
      <c r="GY29" s="17" t="str">
        <f t="shared" si="63"/>
        <v/>
      </c>
      <c r="GZ29" s="17" t="str">
        <f t="shared" si="63"/>
        <v/>
      </c>
      <c r="HA29" s="17" t="str">
        <f t="shared" si="63"/>
        <v/>
      </c>
      <c r="HB29" s="17" t="str">
        <f t="shared" si="63"/>
        <v/>
      </c>
      <c r="HC29" s="17" t="str">
        <f t="shared" si="64"/>
        <v/>
      </c>
      <c r="HD29" s="17" t="str">
        <f t="shared" si="64"/>
        <v/>
      </c>
      <c r="HE29" s="17" t="str">
        <f t="shared" si="64"/>
        <v/>
      </c>
      <c r="HF29" s="17" t="str">
        <f t="shared" si="64"/>
        <v/>
      </c>
      <c r="HG29" s="17" t="str">
        <f t="shared" si="64"/>
        <v/>
      </c>
      <c r="HH29" s="17" t="str">
        <f t="shared" si="64"/>
        <v/>
      </c>
      <c r="HI29" s="17" t="str">
        <f t="shared" si="64"/>
        <v/>
      </c>
      <c r="HJ29" s="17" t="str">
        <f t="shared" si="64"/>
        <v/>
      </c>
      <c r="HK29" s="17" t="str">
        <f t="shared" si="64"/>
        <v/>
      </c>
      <c r="HL29" s="17" t="str">
        <f t="shared" si="64"/>
        <v/>
      </c>
      <c r="HM29" s="17" t="str">
        <f t="shared" si="65"/>
        <v/>
      </c>
      <c r="HN29" s="17" t="str">
        <f t="shared" si="65"/>
        <v/>
      </c>
      <c r="HO29" s="17" t="str">
        <f t="shared" si="65"/>
        <v/>
      </c>
      <c r="HP29" s="17" t="str">
        <f t="shared" si="65"/>
        <v/>
      </c>
      <c r="HQ29" s="17" t="str">
        <f t="shared" si="65"/>
        <v/>
      </c>
      <c r="HR29" s="17" t="str">
        <f t="shared" si="65"/>
        <v/>
      </c>
      <c r="HS29" s="17" t="str">
        <f t="shared" si="65"/>
        <v/>
      </c>
      <c r="HT29" s="17" t="str">
        <f t="shared" si="65"/>
        <v/>
      </c>
      <c r="HU29" s="17" t="str">
        <f t="shared" si="65"/>
        <v/>
      </c>
      <c r="HV29" s="17" t="str">
        <f t="shared" si="65"/>
        <v/>
      </c>
      <c r="HW29" s="17" t="str">
        <f t="shared" si="65"/>
        <v/>
      </c>
      <c r="HX29" s="17" t="str">
        <f t="shared" si="65"/>
        <v/>
      </c>
      <c r="HY29" s="17" t="str">
        <f t="shared" si="65"/>
        <v/>
      </c>
      <c r="HZ29" s="17" t="str">
        <f t="shared" si="65"/>
        <v/>
      </c>
      <c r="IA29" s="17" t="str">
        <f t="shared" si="65"/>
        <v/>
      </c>
    </row>
    <row r="30" spans="1:235" ht="25.95" customHeight="1" x14ac:dyDescent="0.3">
      <c r="A30" s="7">
        <v>25</v>
      </c>
      <c r="B30" s="7">
        <f>Premissas!$B$6</f>
        <v>6</v>
      </c>
      <c r="C30" s="7">
        <f>24*Premissas!$B$8</f>
        <v>290.90909090909093</v>
      </c>
      <c r="D30" s="7">
        <f>C30+Premissas!$B$9</f>
        <v>338.90909090909093</v>
      </c>
      <c r="E30" s="7">
        <f>C30+Premissas!$B$11</f>
        <v>344.90909090909093</v>
      </c>
      <c r="F30" s="7">
        <f>E30+Premissas!$B$8</f>
        <v>357.03030303030306</v>
      </c>
      <c r="G30" s="7">
        <f>Premissas!$B$11</f>
        <v>54</v>
      </c>
      <c r="H30" s="7">
        <f>Premissas!$B$12</f>
        <v>3</v>
      </c>
      <c r="I30" s="7" t="s">
        <v>47</v>
      </c>
      <c r="J30" s="8" t="s">
        <v>48</v>
      </c>
      <c r="K30" s="17" t="str">
        <f t="shared" si="44"/>
        <v/>
      </c>
      <c r="L30" s="17" t="str">
        <f t="shared" si="44"/>
        <v/>
      </c>
      <c r="M30" s="17" t="str">
        <f t="shared" si="44"/>
        <v/>
      </c>
      <c r="N30" s="17" t="str">
        <f t="shared" si="44"/>
        <v/>
      </c>
      <c r="O30" s="17" t="str">
        <f t="shared" si="44"/>
        <v/>
      </c>
      <c r="P30" s="17" t="str">
        <f t="shared" si="44"/>
        <v/>
      </c>
      <c r="Q30" s="17" t="str">
        <f t="shared" si="44"/>
        <v/>
      </c>
      <c r="R30" s="17" t="str">
        <f t="shared" si="44"/>
        <v/>
      </c>
      <c r="S30" s="17" t="str">
        <f t="shared" si="44"/>
        <v/>
      </c>
      <c r="T30" s="17" t="str">
        <f t="shared" si="44"/>
        <v/>
      </c>
      <c r="U30" s="17" t="str">
        <f t="shared" si="45"/>
        <v/>
      </c>
      <c r="V30" s="17" t="str">
        <f t="shared" si="45"/>
        <v/>
      </c>
      <c r="W30" s="17" t="str">
        <f t="shared" si="45"/>
        <v/>
      </c>
      <c r="X30" s="17" t="str">
        <f t="shared" si="45"/>
        <v/>
      </c>
      <c r="Y30" s="17" t="str">
        <f t="shared" si="45"/>
        <v/>
      </c>
      <c r="Z30" s="17" t="str">
        <f t="shared" si="45"/>
        <v/>
      </c>
      <c r="AA30" s="17" t="str">
        <f t="shared" si="45"/>
        <v/>
      </c>
      <c r="AB30" s="17" t="str">
        <f t="shared" si="45"/>
        <v/>
      </c>
      <c r="AC30" s="17" t="str">
        <f t="shared" si="45"/>
        <v/>
      </c>
      <c r="AD30" s="17" t="str">
        <f t="shared" si="45"/>
        <v/>
      </c>
      <c r="AE30" s="17" t="str">
        <f t="shared" si="46"/>
        <v/>
      </c>
      <c r="AF30" s="17" t="str">
        <f t="shared" si="46"/>
        <v/>
      </c>
      <c r="AG30" s="17" t="str">
        <f t="shared" si="46"/>
        <v/>
      </c>
      <c r="AH30" s="17" t="str">
        <f t="shared" si="46"/>
        <v/>
      </c>
      <c r="AI30" s="17" t="str">
        <f t="shared" si="46"/>
        <v/>
      </c>
      <c r="AJ30" s="17" t="str">
        <f t="shared" si="46"/>
        <v/>
      </c>
      <c r="AK30" s="17" t="str">
        <f t="shared" si="46"/>
        <v/>
      </c>
      <c r="AL30" s="17" t="str">
        <f t="shared" si="46"/>
        <v/>
      </c>
      <c r="AM30" s="17" t="str">
        <f t="shared" si="46"/>
        <v/>
      </c>
      <c r="AN30" s="17" t="str">
        <f t="shared" si="46"/>
        <v/>
      </c>
      <c r="AO30" s="17" t="str">
        <f t="shared" si="47"/>
        <v/>
      </c>
      <c r="AP30" s="17" t="str">
        <f t="shared" si="47"/>
        <v/>
      </c>
      <c r="AQ30" s="17" t="str">
        <f t="shared" si="47"/>
        <v/>
      </c>
      <c r="AR30" s="17" t="str">
        <f t="shared" si="47"/>
        <v/>
      </c>
      <c r="AS30" s="17" t="str">
        <f t="shared" si="47"/>
        <v/>
      </c>
      <c r="AT30" s="17" t="str">
        <f t="shared" si="47"/>
        <v/>
      </c>
      <c r="AU30" s="17" t="str">
        <f t="shared" si="47"/>
        <v/>
      </c>
      <c r="AV30" s="17" t="str">
        <f t="shared" si="47"/>
        <v/>
      </c>
      <c r="AW30" s="17" t="str">
        <f t="shared" si="47"/>
        <v/>
      </c>
      <c r="AX30" s="17" t="str">
        <f t="shared" si="47"/>
        <v/>
      </c>
      <c r="AY30" s="17" t="str">
        <f t="shared" si="48"/>
        <v/>
      </c>
      <c r="AZ30" s="17" t="str">
        <f t="shared" si="48"/>
        <v/>
      </c>
      <c r="BA30" s="17" t="str">
        <f t="shared" si="48"/>
        <v/>
      </c>
      <c r="BB30" s="17" t="str">
        <f t="shared" si="48"/>
        <v/>
      </c>
      <c r="BC30" s="17" t="str">
        <f t="shared" si="48"/>
        <v/>
      </c>
      <c r="BD30" s="17" t="str">
        <f t="shared" si="48"/>
        <v/>
      </c>
      <c r="BE30" s="17" t="str">
        <f t="shared" si="48"/>
        <v/>
      </c>
      <c r="BF30" s="17" t="str">
        <f t="shared" si="48"/>
        <v/>
      </c>
      <c r="BG30" s="17" t="str">
        <f t="shared" si="48"/>
        <v/>
      </c>
      <c r="BH30" s="17" t="str">
        <f t="shared" si="48"/>
        <v/>
      </c>
      <c r="BI30" s="17" t="str">
        <f t="shared" si="49"/>
        <v/>
      </c>
      <c r="BJ30" s="17" t="str">
        <f t="shared" si="49"/>
        <v/>
      </c>
      <c r="BK30" s="17" t="str">
        <f t="shared" si="49"/>
        <v/>
      </c>
      <c r="BL30" s="17" t="str">
        <f t="shared" si="49"/>
        <v/>
      </c>
      <c r="BM30" s="17" t="str">
        <f t="shared" si="49"/>
        <v/>
      </c>
      <c r="BN30" s="17" t="str">
        <f t="shared" si="49"/>
        <v/>
      </c>
      <c r="BO30" s="17" t="str">
        <f t="shared" si="49"/>
        <v/>
      </c>
      <c r="BP30" s="17" t="str">
        <f t="shared" si="49"/>
        <v/>
      </c>
      <c r="BQ30" s="17" t="str">
        <f t="shared" si="49"/>
        <v/>
      </c>
      <c r="BR30" s="17" t="str">
        <f t="shared" si="49"/>
        <v/>
      </c>
      <c r="BS30" s="17" t="str">
        <f t="shared" si="50"/>
        <v/>
      </c>
      <c r="BT30" s="17" t="str">
        <f t="shared" si="50"/>
        <v/>
      </c>
      <c r="BU30" s="17" t="str">
        <f t="shared" si="50"/>
        <v/>
      </c>
      <c r="BV30" s="17" t="str">
        <f t="shared" si="50"/>
        <v/>
      </c>
      <c r="BW30" s="17" t="str">
        <f t="shared" si="50"/>
        <v/>
      </c>
      <c r="BX30" s="17" t="str">
        <f t="shared" si="50"/>
        <v/>
      </c>
      <c r="BY30" s="17" t="str">
        <f t="shared" si="50"/>
        <v/>
      </c>
      <c r="BZ30" s="17" t="str">
        <f t="shared" si="50"/>
        <v/>
      </c>
      <c r="CA30" s="17" t="str">
        <f t="shared" si="50"/>
        <v/>
      </c>
      <c r="CB30" s="17" t="str">
        <f t="shared" si="50"/>
        <v/>
      </c>
      <c r="CC30" s="17" t="str">
        <f t="shared" si="51"/>
        <v/>
      </c>
      <c r="CD30" s="17" t="str">
        <f t="shared" si="51"/>
        <v/>
      </c>
      <c r="CE30" s="17" t="str">
        <f t="shared" si="51"/>
        <v/>
      </c>
      <c r="CF30" s="17" t="str">
        <f t="shared" si="51"/>
        <v/>
      </c>
      <c r="CG30" s="17" t="str">
        <f t="shared" si="51"/>
        <v/>
      </c>
      <c r="CH30" s="17" t="str">
        <f t="shared" si="51"/>
        <v/>
      </c>
      <c r="CI30" s="17" t="str">
        <f t="shared" si="51"/>
        <v/>
      </c>
      <c r="CJ30" s="17" t="str">
        <f t="shared" si="51"/>
        <v/>
      </c>
      <c r="CK30" s="17" t="str">
        <f t="shared" si="51"/>
        <v/>
      </c>
      <c r="CL30" s="17" t="str">
        <f t="shared" si="51"/>
        <v/>
      </c>
      <c r="CM30" s="17" t="str">
        <f t="shared" si="52"/>
        <v/>
      </c>
      <c r="CN30" s="17" t="str">
        <f t="shared" si="52"/>
        <v/>
      </c>
      <c r="CO30" s="17" t="str">
        <f t="shared" si="52"/>
        <v/>
      </c>
      <c r="CP30" s="17" t="str">
        <f t="shared" si="52"/>
        <v/>
      </c>
      <c r="CQ30" s="17" t="str">
        <f t="shared" si="52"/>
        <v/>
      </c>
      <c r="CR30" s="17" t="str">
        <f t="shared" si="52"/>
        <v/>
      </c>
      <c r="CS30" s="17" t="str">
        <f t="shared" si="52"/>
        <v/>
      </c>
      <c r="CT30" s="17" t="str">
        <f t="shared" si="52"/>
        <v/>
      </c>
      <c r="CU30" s="17" t="str">
        <f t="shared" si="52"/>
        <v/>
      </c>
      <c r="CV30" s="17" t="str">
        <f t="shared" si="52"/>
        <v/>
      </c>
      <c r="CW30" s="17" t="str">
        <f t="shared" si="53"/>
        <v/>
      </c>
      <c r="CX30" s="17" t="str">
        <f t="shared" si="53"/>
        <v/>
      </c>
      <c r="CY30" s="17" t="str">
        <f t="shared" si="53"/>
        <v/>
      </c>
      <c r="CZ30" s="17" t="str">
        <f t="shared" si="53"/>
        <v/>
      </c>
      <c r="DA30" s="17" t="str">
        <f t="shared" si="53"/>
        <v/>
      </c>
      <c r="DB30" s="17" t="str">
        <f t="shared" si="53"/>
        <v/>
      </c>
      <c r="DC30" s="17" t="str">
        <f t="shared" si="53"/>
        <v/>
      </c>
      <c r="DD30" s="17" t="str">
        <f t="shared" si="53"/>
        <v>R</v>
      </c>
      <c r="DE30" s="17" t="str">
        <f t="shared" si="53"/>
        <v>R</v>
      </c>
      <c r="DF30" s="17" t="str">
        <f t="shared" si="53"/>
        <v>R</v>
      </c>
      <c r="DG30" s="17" t="str">
        <f t="shared" si="54"/>
        <v>R</v>
      </c>
      <c r="DH30" s="17" t="str">
        <f t="shared" si="54"/>
        <v>R</v>
      </c>
      <c r="DI30" s="17" t="str">
        <f t="shared" si="54"/>
        <v>R</v>
      </c>
      <c r="DJ30" s="17" t="str">
        <f t="shared" si="54"/>
        <v>R</v>
      </c>
      <c r="DK30" s="17" t="str">
        <f t="shared" si="54"/>
        <v>R</v>
      </c>
      <c r="DL30" s="17" t="str">
        <f t="shared" si="54"/>
        <v>R</v>
      </c>
      <c r="DM30" s="17" t="str">
        <f t="shared" si="54"/>
        <v>R</v>
      </c>
      <c r="DN30" s="17" t="str">
        <f t="shared" si="54"/>
        <v>R</v>
      </c>
      <c r="DO30" s="17" t="str">
        <f t="shared" si="54"/>
        <v>R</v>
      </c>
      <c r="DP30" s="17" t="str">
        <f t="shared" si="54"/>
        <v>R</v>
      </c>
      <c r="DQ30" s="17" t="str">
        <f t="shared" si="55"/>
        <v>R</v>
      </c>
      <c r="DR30" s="17" t="str">
        <f t="shared" si="55"/>
        <v>R</v>
      </c>
      <c r="DS30" s="17" t="str">
        <f t="shared" si="55"/>
        <v>R</v>
      </c>
      <c r="DT30" s="17" t="str">
        <f t="shared" si="55"/>
        <v>P</v>
      </c>
      <c r="DU30" s="17" t="str">
        <f t="shared" si="55"/>
        <v>P</v>
      </c>
      <c r="DV30" s="17" t="str">
        <f t="shared" si="55"/>
        <v>T</v>
      </c>
      <c r="DW30" s="17" t="str">
        <f t="shared" si="55"/>
        <v>T</v>
      </c>
      <c r="DX30" s="17" t="str">
        <f t="shared" si="55"/>
        <v>T</v>
      </c>
      <c r="DY30" s="17" t="str">
        <f t="shared" si="55"/>
        <v>T</v>
      </c>
      <c r="DZ30" s="17" t="str">
        <f t="shared" si="55"/>
        <v>T</v>
      </c>
      <c r="EA30" s="17" t="str">
        <f t="shared" si="56"/>
        <v/>
      </c>
      <c r="EB30" s="17" t="str">
        <f t="shared" si="56"/>
        <v/>
      </c>
      <c r="EC30" s="17" t="str">
        <f t="shared" si="56"/>
        <v/>
      </c>
      <c r="ED30" s="17" t="str">
        <f t="shared" si="56"/>
        <v/>
      </c>
      <c r="EE30" s="17" t="str">
        <f t="shared" si="56"/>
        <v/>
      </c>
      <c r="EF30" s="17" t="str">
        <f t="shared" si="56"/>
        <v/>
      </c>
      <c r="EG30" s="17" t="str">
        <f t="shared" si="56"/>
        <v/>
      </c>
      <c r="EH30" s="17" t="str">
        <f t="shared" si="56"/>
        <v/>
      </c>
      <c r="EI30" s="17" t="str">
        <f t="shared" si="56"/>
        <v/>
      </c>
      <c r="EJ30" s="17" t="str">
        <f t="shared" si="56"/>
        <v/>
      </c>
      <c r="EK30" s="17" t="str">
        <f t="shared" si="57"/>
        <v/>
      </c>
      <c r="EL30" s="17" t="str">
        <f t="shared" si="57"/>
        <v/>
      </c>
      <c r="EM30" s="17" t="str">
        <f t="shared" si="57"/>
        <v/>
      </c>
      <c r="EN30" s="17" t="str">
        <f t="shared" si="57"/>
        <v/>
      </c>
      <c r="EO30" s="17" t="str">
        <f t="shared" si="57"/>
        <v/>
      </c>
      <c r="EP30" s="17" t="str">
        <f t="shared" si="57"/>
        <v/>
      </c>
      <c r="EQ30" s="17" t="str">
        <f t="shared" si="57"/>
        <v/>
      </c>
      <c r="ER30" s="17" t="str">
        <f t="shared" si="57"/>
        <v/>
      </c>
      <c r="ES30" s="17" t="str">
        <f t="shared" si="57"/>
        <v/>
      </c>
      <c r="ET30" s="17" t="str">
        <f t="shared" si="57"/>
        <v/>
      </c>
      <c r="EU30" s="17" t="str">
        <f t="shared" si="58"/>
        <v/>
      </c>
      <c r="EV30" s="17" t="str">
        <f t="shared" si="58"/>
        <v/>
      </c>
      <c r="EW30" s="17" t="str">
        <f t="shared" si="58"/>
        <v/>
      </c>
      <c r="EX30" s="17" t="str">
        <f t="shared" si="58"/>
        <v/>
      </c>
      <c r="EY30" s="17" t="str">
        <f t="shared" si="58"/>
        <v/>
      </c>
      <c r="EZ30" s="17" t="str">
        <f t="shared" si="58"/>
        <v/>
      </c>
      <c r="FA30" s="17" t="str">
        <f t="shared" si="58"/>
        <v/>
      </c>
      <c r="FB30" s="17" t="str">
        <f t="shared" si="58"/>
        <v/>
      </c>
      <c r="FC30" s="17" t="str">
        <f t="shared" si="58"/>
        <v/>
      </c>
      <c r="FD30" s="17" t="str">
        <f t="shared" si="58"/>
        <v/>
      </c>
      <c r="FE30" s="17" t="str">
        <f t="shared" si="59"/>
        <v/>
      </c>
      <c r="FF30" s="17" t="str">
        <f t="shared" si="59"/>
        <v/>
      </c>
      <c r="FG30" s="17" t="str">
        <f t="shared" si="59"/>
        <v/>
      </c>
      <c r="FH30" s="17" t="str">
        <f t="shared" si="59"/>
        <v/>
      </c>
      <c r="FI30" s="17" t="str">
        <f t="shared" si="59"/>
        <v/>
      </c>
      <c r="FJ30" s="17" t="str">
        <f t="shared" si="59"/>
        <v/>
      </c>
      <c r="FK30" s="17" t="str">
        <f t="shared" si="59"/>
        <v/>
      </c>
      <c r="FL30" s="17" t="str">
        <f t="shared" si="59"/>
        <v/>
      </c>
      <c r="FM30" s="17" t="str">
        <f t="shared" si="59"/>
        <v/>
      </c>
      <c r="FN30" s="17" t="str">
        <f t="shared" si="59"/>
        <v/>
      </c>
      <c r="FO30" s="17" t="str">
        <f t="shared" si="60"/>
        <v/>
      </c>
      <c r="FP30" s="17" t="str">
        <f t="shared" si="60"/>
        <v/>
      </c>
      <c r="FQ30" s="17" t="str">
        <f t="shared" si="60"/>
        <v/>
      </c>
      <c r="FR30" s="17" t="str">
        <f t="shared" si="60"/>
        <v/>
      </c>
      <c r="FS30" s="17" t="str">
        <f t="shared" si="60"/>
        <v/>
      </c>
      <c r="FT30" s="17" t="str">
        <f t="shared" si="60"/>
        <v/>
      </c>
      <c r="FU30" s="17" t="str">
        <f t="shared" si="60"/>
        <v/>
      </c>
      <c r="FV30" s="17" t="str">
        <f t="shared" si="60"/>
        <v/>
      </c>
      <c r="FW30" s="17" t="str">
        <f t="shared" si="60"/>
        <v/>
      </c>
      <c r="FX30" s="17" t="str">
        <f t="shared" si="60"/>
        <v/>
      </c>
      <c r="FY30" s="17" t="str">
        <f t="shared" si="61"/>
        <v/>
      </c>
      <c r="FZ30" s="17" t="str">
        <f t="shared" si="61"/>
        <v/>
      </c>
      <c r="GA30" s="17" t="str">
        <f t="shared" si="61"/>
        <v/>
      </c>
      <c r="GB30" s="17" t="str">
        <f t="shared" si="61"/>
        <v/>
      </c>
      <c r="GC30" s="17" t="str">
        <f t="shared" si="61"/>
        <v/>
      </c>
      <c r="GD30" s="17" t="str">
        <f t="shared" si="61"/>
        <v/>
      </c>
      <c r="GE30" s="17" t="str">
        <f t="shared" si="61"/>
        <v/>
      </c>
      <c r="GF30" s="17" t="str">
        <f t="shared" si="61"/>
        <v/>
      </c>
      <c r="GG30" s="17" t="str">
        <f t="shared" si="61"/>
        <v/>
      </c>
      <c r="GH30" s="17" t="str">
        <f t="shared" si="61"/>
        <v/>
      </c>
      <c r="GI30" s="17" t="str">
        <f t="shared" si="62"/>
        <v/>
      </c>
      <c r="GJ30" s="17" t="str">
        <f t="shared" si="62"/>
        <v/>
      </c>
      <c r="GK30" s="17" t="str">
        <f t="shared" si="62"/>
        <v/>
      </c>
      <c r="GL30" s="17" t="str">
        <f t="shared" si="62"/>
        <v/>
      </c>
      <c r="GM30" s="17" t="str">
        <f t="shared" si="62"/>
        <v/>
      </c>
      <c r="GN30" s="17" t="str">
        <f t="shared" si="62"/>
        <v/>
      </c>
      <c r="GO30" s="17" t="str">
        <f t="shared" si="62"/>
        <v/>
      </c>
      <c r="GP30" s="17" t="str">
        <f t="shared" si="62"/>
        <v/>
      </c>
      <c r="GQ30" s="17" t="str">
        <f t="shared" si="62"/>
        <v/>
      </c>
      <c r="GR30" s="17" t="str">
        <f t="shared" si="62"/>
        <v/>
      </c>
      <c r="GS30" s="17" t="str">
        <f t="shared" si="63"/>
        <v/>
      </c>
      <c r="GT30" s="17" t="str">
        <f t="shared" si="63"/>
        <v/>
      </c>
      <c r="GU30" s="17" t="str">
        <f t="shared" si="63"/>
        <v/>
      </c>
      <c r="GV30" s="17" t="str">
        <f t="shared" si="63"/>
        <v/>
      </c>
      <c r="GW30" s="17" t="str">
        <f t="shared" si="63"/>
        <v/>
      </c>
      <c r="GX30" s="17" t="str">
        <f t="shared" si="63"/>
        <v/>
      </c>
      <c r="GY30" s="17" t="str">
        <f t="shared" si="63"/>
        <v/>
      </c>
      <c r="GZ30" s="17" t="str">
        <f t="shared" si="63"/>
        <v/>
      </c>
      <c r="HA30" s="17" t="str">
        <f t="shared" si="63"/>
        <v/>
      </c>
      <c r="HB30" s="17" t="str">
        <f t="shared" si="63"/>
        <v/>
      </c>
      <c r="HC30" s="17" t="str">
        <f t="shared" si="64"/>
        <v/>
      </c>
      <c r="HD30" s="17" t="str">
        <f t="shared" si="64"/>
        <v/>
      </c>
      <c r="HE30" s="17" t="str">
        <f t="shared" si="64"/>
        <v/>
      </c>
      <c r="HF30" s="17" t="str">
        <f t="shared" si="64"/>
        <v/>
      </c>
      <c r="HG30" s="17" t="str">
        <f t="shared" si="64"/>
        <v/>
      </c>
      <c r="HH30" s="17" t="str">
        <f t="shared" si="64"/>
        <v/>
      </c>
      <c r="HI30" s="17" t="str">
        <f t="shared" si="64"/>
        <v/>
      </c>
      <c r="HJ30" s="17" t="str">
        <f t="shared" si="64"/>
        <v/>
      </c>
      <c r="HK30" s="17" t="str">
        <f t="shared" si="64"/>
        <v/>
      </c>
      <c r="HL30" s="17" t="str">
        <f t="shared" si="64"/>
        <v/>
      </c>
      <c r="HM30" s="17" t="str">
        <f t="shared" si="65"/>
        <v/>
      </c>
      <c r="HN30" s="17" t="str">
        <f t="shared" si="65"/>
        <v/>
      </c>
      <c r="HO30" s="17" t="str">
        <f t="shared" si="65"/>
        <v/>
      </c>
      <c r="HP30" s="17" t="str">
        <f t="shared" si="65"/>
        <v/>
      </c>
      <c r="HQ30" s="17" t="str">
        <f t="shared" si="65"/>
        <v/>
      </c>
      <c r="HR30" s="17" t="str">
        <f t="shared" si="65"/>
        <v/>
      </c>
      <c r="HS30" s="17" t="str">
        <f t="shared" si="65"/>
        <v/>
      </c>
      <c r="HT30" s="17" t="str">
        <f t="shared" si="65"/>
        <v/>
      </c>
      <c r="HU30" s="17" t="str">
        <f t="shared" si="65"/>
        <v/>
      </c>
      <c r="HV30" s="17" t="str">
        <f t="shared" si="65"/>
        <v/>
      </c>
      <c r="HW30" s="17" t="str">
        <f t="shared" si="65"/>
        <v/>
      </c>
      <c r="HX30" s="17" t="str">
        <f t="shared" si="65"/>
        <v/>
      </c>
      <c r="HY30" s="17" t="str">
        <f t="shared" si="65"/>
        <v/>
      </c>
      <c r="HZ30" s="17" t="str">
        <f t="shared" si="65"/>
        <v/>
      </c>
      <c r="IA30" s="17" t="str">
        <f t="shared" si="65"/>
        <v/>
      </c>
    </row>
    <row r="31" spans="1:235" ht="25.95" customHeight="1" x14ac:dyDescent="0.3">
      <c r="A31" s="7">
        <v>26</v>
      </c>
      <c r="B31" s="7">
        <f>Premissas!$B$6</f>
        <v>6</v>
      </c>
      <c r="C31" s="7">
        <f>25*Premissas!$B$8</f>
        <v>303.03030303030306</v>
      </c>
      <c r="D31" s="7">
        <f>C31+Premissas!$B$9</f>
        <v>351.03030303030306</v>
      </c>
      <c r="E31" s="7">
        <f>C31+Premissas!$B$11</f>
        <v>357.03030303030306</v>
      </c>
      <c r="F31" s="7">
        <f>E31+Premissas!$B$8</f>
        <v>369.15151515151518</v>
      </c>
      <c r="G31" s="7">
        <f>Premissas!$B$11</f>
        <v>54</v>
      </c>
      <c r="H31" s="7">
        <f>Premissas!$B$12</f>
        <v>3</v>
      </c>
      <c r="I31" s="7" t="s">
        <v>47</v>
      </c>
      <c r="J31" s="8" t="s">
        <v>48</v>
      </c>
      <c r="K31" s="17" t="str">
        <f t="shared" si="44"/>
        <v/>
      </c>
      <c r="L31" s="17" t="str">
        <f t="shared" si="44"/>
        <v/>
      </c>
      <c r="M31" s="17" t="str">
        <f t="shared" si="44"/>
        <v/>
      </c>
      <c r="N31" s="17" t="str">
        <f t="shared" si="44"/>
        <v/>
      </c>
      <c r="O31" s="17" t="str">
        <f t="shared" si="44"/>
        <v/>
      </c>
      <c r="P31" s="17" t="str">
        <f t="shared" si="44"/>
        <v/>
      </c>
      <c r="Q31" s="17" t="str">
        <f t="shared" si="44"/>
        <v/>
      </c>
      <c r="R31" s="17" t="str">
        <f t="shared" si="44"/>
        <v/>
      </c>
      <c r="S31" s="17" t="str">
        <f t="shared" si="44"/>
        <v/>
      </c>
      <c r="T31" s="17" t="str">
        <f t="shared" si="44"/>
        <v/>
      </c>
      <c r="U31" s="17" t="str">
        <f t="shared" si="45"/>
        <v/>
      </c>
      <c r="V31" s="17" t="str">
        <f t="shared" si="45"/>
        <v/>
      </c>
      <c r="W31" s="17" t="str">
        <f t="shared" si="45"/>
        <v/>
      </c>
      <c r="X31" s="17" t="str">
        <f t="shared" si="45"/>
        <v/>
      </c>
      <c r="Y31" s="17" t="str">
        <f t="shared" si="45"/>
        <v/>
      </c>
      <c r="Z31" s="17" t="str">
        <f t="shared" si="45"/>
        <v/>
      </c>
      <c r="AA31" s="17" t="str">
        <f t="shared" si="45"/>
        <v/>
      </c>
      <c r="AB31" s="17" t="str">
        <f t="shared" si="45"/>
        <v/>
      </c>
      <c r="AC31" s="17" t="str">
        <f t="shared" si="45"/>
        <v/>
      </c>
      <c r="AD31" s="17" t="str">
        <f t="shared" si="45"/>
        <v/>
      </c>
      <c r="AE31" s="17" t="str">
        <f t="shared" si="46"/>
        <v/>
      </c>
      <c r="AF31" s="17" t="str">
        <f t="shared" si="46"/>
        <v/>
      </c>
      <c r="AG31" s="17" t="str">
        <f t="shared" si="46"/>
        <v/>
      </c>
      <c r="AH31" s="17" t="str">
        <f t="shared" si="46"/>
        <v/>
      </c>
      <c r="AI31" s="17" t="str">
        <f t="shared" si="46"/>
        <v/>
      </c>
      <c r="AJ31" s="17" t="str">
        <f t="shared" si="46"/>
        <v/>
      </c>
      <c r="AK31" s="17" t="str">
        <f t="shared" si="46"/>
        <v/>
      </c>
      <c r="AL31" s="17" t="str">
        <f t="shared" si="46"/>
        <v/>
      </c>
      <c r="AM31" s="17" t="str">
        <f t="shared" si="46"/>
        <v/>
      </c>
      <c r="AN31" s="17" t="str">
        <f t="shared" si="46"/>
        <v/>
      </c>
      <c r="AO31" s="17" t="str">
        <f t="shared" si="47"/>
        <v/>
      </c>
      <c r="AP31" s="17" t="str">
        <f t="shared" si="47"/>
        <v/>
      </c>
      <c r="AQ31" s="17" t="str">
        <f t="shared" si="47"/>
        <v/>
      </c>
      <c r="AR31" s="17" t="str">
        <f t="shared" si="47"/>
        <v/>
      </c>
      <c r="AS31" s="17" t="str">
        <f t="shared" si="47"/>
        <v/>
      </c>
      <c r="AT31" s="17" t="str">
        <f t="shared" si="47"/>
        <v/>
      </c>
      <c r="AU31" s="17" t="str">
        <f t="shared" si="47"/>
        <v/>
      </c>
      <c r="AV31" s="17" t="str">
        <f t="shared" si="47"/>
        <v/>
      </c>
      <c r="AW31" s="17" t="str">
        <f t="shared" si="47"/>
        <v/>
      </c>
      <c r="AX31" s="17" t="str">
        <f t="shared" si="47"/>
        <v/>
      </c>
      <c r="AY31" s="17" t="str">
        <f t="shared" si="48"/>
        <v/>
      </c>
      <c r="AZ31" s="17" t="str">
        <f t="shared" si="48"/>
        <v/>
      </c>
      <c r="BA31" s="17" t="str">
        <f t="shared" si="48"/>
        <v/>
      </c>
      <c r="BB31" s="17" t="str">
        <f t="shared" si="48"/>
        <v/>
      </c>
      <c r="BC31" s="17" t="str">
        <f t="shared" si="48"/>
        <v/>
      </c>
      <c r="BD31" s="17" t="str">
        <f t="shared" si="48"/>
        <v/>
      </c>
      <c r="BE31" s="17" t="str">
        <f t="shared" si="48"/>
        <v/>
      </c>
      <c r="BF31" s="17" t="str">
        <f t="shared" si="48"/>
        <v/>
      </c>
      <c r="BG31" s="17" t="str">
        <f t="shared" si="48"/>
        <v/>
      </c>
      <c r="BH31" s="17" t="str">
        <f t="shared" si="48"/>
        <v/>
      </c>
      <c r="BI31" s="17" t="str">
        <f t="shared" si="49"/>
        <v/>
      </c>
      <c r="BJ31" s="17" t="str">
        <f t="shared" si="49"/>
        <v/>
      </c>
      <c r="BK31" s="17" t="str">
        <f t="shared" si="49"/>
        <v/>
      </c>
      <c r="BL31" s="17" t="str">
        <f t="shared" si="49"/>
        <v/>
      </c>
      <c r="BM31" s="17" t="str">
        <f t="shared" si="49"/>
        <v/>
      </c>
      <c r="BN31" s="17" t="str">
        <f t="shared" si="49"/>
        <v/>
      </c>
      <c r="BO31" s="17" t="str">
        <f t="shared" si="49"/>
        <v/>
      </c>
      <c r="BP31" s="17" t="str">
        <f t="shared" si="49"/>
        <v/>
      </c>
      <c r="BQ31" s="17" t="str">
        <f t="shared" si="49"/>
        <v/>
      </c>
      <c r="BR31" s="17" t="str">
        <f t="shared" si="49"/>
        <v/>
      </c>
      <c r="BS31" s="17" t="str">
        <f t="shared" si="50"/>
        <v/>
      </c>
      <c r="BT31" s="17" t="str">
        <f t="shared" si="50"/>
        <v/>
      </c>
      <c r="BU31" s="17" t="str">
        <f t="shared" si="50"/>
        <v/>
      </c>
      <c r="BV31" s="17" t="str">
        <f t="shared" si="50"/>
        <v/>
      </c>
      <c r="BW31" s="17" t="str">
        <f t="shared" si="50"/>
        <v/>
      </c>
      <c r="BX31" s="17" t="str">
        <f t="shared" si="50"/>
        <v/>
      </c>
      <c r="BY31" s="17" t="str">
        <f t="shared" si="50"/>
        <v/>
      </c>
      <c r="BZ31" s="17" t="str">
        <f t="shared" si="50"/>
        <v/>
      </c>
      <c r="CA31" s="17" t="str">
        <f t="shared" si="50"/>
        <v/>
      </c>
      <c r="CB31" s="17" t="str">
        <f t="shared" si="50"/>
        <v/>
      </c>
      <c r="CC31" s="17" t="str">
        <f t="shared" si="51"/>
        <v/>
      </c>
      <c r="CD31" s="17" t="str">
        <f t="shared" si="51"/>
        <v/>
      </c>
      <c r="CE31" s="17" t="str">
        <f t="shared" si="51"/>
        <v/>
      </c>
      <c r="CF31" s="17" t="str">
        <f t="shared" si="51"/>
        <v/>
      </c>
      <c r="CG31" s="17" t="str">
        <f t="shared" si="51"/>
        <v/>
      </c>
      <c r="CH31" s="17" t="str">
        <f t="shared" si="51"/>
        <v/>
      </c>
      <c r="CI31" s="17" t="str">
        <f t="shared" si="51"/>
        <v/>
      </c>
      <c r="CJ31" s="17" t="str">
        <f t="shared" si="51"/>
        <v/>
      </c>
      <c r="CK31" s="17" t="str">
        <f t="shared" si="51"/>
        <v/>
      </c>
      <c r="CL31" s="17" t="str">
        <f t="shared" si="51"/>
        <v/>
      </c>
      <c r="CM31" s="17" t="str">
        <f t="shared" si="52"/>
        <v/>
      </c>
      <c r="CN31" s="17" t="str">
        <f t="shared" si="52"/>
        <v/>
      </c>
      <c r="CO31" s="17" t="str">
        <f t="shared" si="52"/>
        <v/>
      </c>
      <c r="CP31" s="17" t="str">
        <f t="shared" si="52"/>
        <v/>
      </c>
      <c r="CQ31" s="17" t="str">
        <f t="shared" si="52"/>
        <v/>
      </c>
      <c r="CR31" s="17" t="str">
        <f t="shared" si="52"/>
        <v/>
      </c>
      <c r="CS31" s="17" t="str">
        <f t="shared" si="52"/>
        <v/>
      </c>
      <c r="CT31" s="17" t="str">
        <f t="shared" si="52"/>
        <v/>
      </c>
      <c r="CU31" s="17" t="str">
        <f t="shared" si="52"/>
        <v/>
      </c>
      <c r="CV31" s="17" t="str">
        <f t="shared" si="52"/>
        <v/>
      </c>
      <c r="CW31" s="17" t="str">
        <f t="shared" si="53"/>
        <v/>
      </c>
      <c r="CX31" s="17" t="str">
        <f t="shared" si="53"/>
        <v/>
      </c>
      <c r="CY31" s="17" t="str">
        <f t="shared" si="53"/>
        <v/>
      </c>
      <c r="CZ31" s="17" t="str">
        <f t="shared" si="53"/>
        <v/>
      </c>
      <c r="DA31" s="17" t="str">
        <f t="shared" si="53"/>
        <v/>
      </c>
      <c r="DB31" s="17" t="str">
        <f t="shared" si="53"/>
        <v/>
      </c>
      <c r="DC31" s="17" t="str">
        <f t="shared" si="53"/>
        <v/>
      </c>
      <c r="DD31" s="17" t="str">
        <f t="shared" si="53"/>
        <v/>
      </c>
      <c r="DE31" s="17" t="str">
        <f t="shared" si="53"/>
        <v/>
      </c>
      <c r="DF31" s="17" t="str">
        <f t="shared" si="53"/>
        <v/>
      </c>
      <c r="DG31" s="17" t="str">
        <f t="shared" si="54"/>
        <v/>
      </c>
      <c r="DH31" s="17" t="str">
        <f t="shared" si="54"/>
        <v/>
      </c>
      <c r="DI31" s="17" t="str">
        <f t="shared" si="54"/>
        <v>R</v>
      </c>
      <c r="DJ31" s="17" t="str">
        <f t="shared" si="54"/>
        <v>R</v>
      </c>
      <c r="DK31" s="17" t="str">
        <f t="shared" si="54"/>
        <v>R</v>
      </c>
      <c r="DL31" s="17" t="str">
        <f t="shared" si="54"/>
        <v>R</v>
      </c>
      <c r="DM31" s="17" t="str">
        <f t="shared" si="54"/>
        <v>R</v>
      </c>
      <c r="DN31" s="17" t="str">
        <f t="shared" si="54"/>
        <v>R</v>
      </c>
      <c r="DO31" s="17" t="str">
        <f t="shared" si="54"/>
        <v>R</v>
      </c>
      <c r="DP31" s="17" t="str">
        <f t="shared" si="54"/>
        <v>R</v>
      </c>
      <c r="DQ31" s="17" t="str">
        <f t="shared" si="55"/>
        <v>R</v>
      </c>
      <c r="DR31" s="17" t="str">
        <f t="shared" si="55"/>
        <v>R</v>
      </c>
      <c r="DS31" s="17" t="str">
        <f t="shared" si="55"/>
        <v>R</v>
      </c>
      <c r="DT31" s="17" t="str">
        <f t="shared" si="55"/>
        <v>R</v>
      </c>
      <c r="DU31" s="17" t="str">
        <f t="shared" si="55"/>
        <v>R</v>
      </c>
      <c r="DV31" s="17" t="str">
        <f t="shared" si="55"/>
        <v>R</v>
      </c>
      <c r="DW31" s="17" t="str">
        <f t="shared" si="55"/>
        <v>R</v>
      </c>
      <c r="DX31" s="17" t="str">
        <f t="shared" si="55"/>
        <v>R</v>
      </c>
      <c r="DY31" s="17" t="str">
        <f t="shared" si="55"/>
        <v>P</v>
      </c>
      <c r="DZ31" s="17" t="str">
        <f t="shared" si="55"/>
        <v>P</v>
      </c>
      <c r="EA31" s="17" t="str">
        <f t="shared" si="56"/>
        <v>T</v>
      </c>
      <c r="EB31" s="17" t="str">
        <f t="shared" si="56"/>
        <v>T</v>
      </c>
      <c r="EC31" s="17" t="str">
        <f t="shared" si="56"/>
        <v>T</v>
      </c>
      <c r="ED31" s="17" t="str">
        <f t="shared" si="56"/>
        <v>T</v>
      </c>
      <c r="EE31" s="17" t="str">
        <f t="shared" si="56"/>
        <v/>
      </c>
      <c r="EF31" s="17" t="str">
        <f t="shared" si="56"/>
        <v/>
      </c>
      <c r="EG31" s="17" t="str">
        <f t="shared" si="56"/>
        <v/>
      </c>
      <c r="EH31" s="17" t="str">
        <f t="shared" si="56"/>
        <v/>
      </c>
      <c r="EI31" s="17" t="str">
        <f t="shared" si="56"/>
        <v/>
      </c>
      <c r="EJ31" s="17" t="str">
        <f t="shared" si="56"/>
        <v/>
      </c>
      <c r="EK31" s="17" t="str">
        <f t="shared" si="57"/>
        <v/>
      </c>
      <c r="EL31" s="17" t="str">
        <f t="shared" si="57"/>
        <v/>
      </c>
      <c r="EM31" s="17" t="str">
        <f t="shared" si="57"/>
        <v/>
      </c>
      <c r="EN31" s="17" t="str">
        <f t="shared" si="57"/>
        <v/>
      </c>
      <c r="EO31" s="17" t="str">
        <f t="shared" si="57"/>
        <v/>
      </c>
      <c r="EP31" s="17" t="str">
        <f t="shared" si="57"/>
        <v/>
      </c>
      <c r="EQ31" s="17" t="str">
        <f t="shared" si="57"/>
        <v/>
      </c>
      <c r="ER31" s="17" t="str">
        <f t="shared" si="57"/>
        <v/>
      </c>
      <c r="ES31" s="17" t="str">
        <f t="shared" si="57"/>
        <v/>
      </c>
      <c r="ET31" s="17" t="str">
        <f t="shared" si="57"/>
        <v/>
      </c>
      <c r="EU31" s="17" t="str">
        <f t="shared" si="58"/>
        <v/>
      </c>
      <c r="EV31" s="17" t="str">
        <f t="shared" si="58"/>
        <v/>
      </c>
      <c r="EW31" s="17" t="str">
        <f t="shared" si="58"/>
        <v/>
      </c>
      <c r="EX31" s="17" t="str">
        <f t="shared" si="58"/>
        <v/>
      </c>
      <c r="EY31" s="17" t="str">
        <f t="shared" si="58"/>
        <v/>
      </c>
      <c r="EZ31" s="17" t="str">
        <f t="shared" si="58"/>
        <v/>
      </c>
      <c r="FA31" s="17" t="str">
        <f t="shared" si="58"/>
        <v/>
      </c>
      <c r="FB31" s="17" t="str">
        <f t="shared" si="58"/>
        <v/>
      </c>
      <c r="FC31" s="17" t="str">
        <f t="shared" si="58"/>
        <v/>
      </c>
      <c r="FD31" s="17" t="str">
        <f t="shared" si="58"/>
        <v/>
      </c>
      <c r="FE31" s="17" t="str">
        <f t="shared" si="59"/>
        <v/>
      </c>
      <c r="FF31" s="17" t="str">
        <f t="shared" si="59"/>
        <v/>
      </c>
      <c r="FG31" s="17" t="str">
        <f t="shared" si="59"/>
        <v/>
      </c>
      <c r="FH31" s="17" t="str">
        <f t="shared" si="59"/>
        <v/>
      </c>
      <c r="FI31" s="17" t="str">
        <f t="shared" si="59"/>
        <v/>
      </c>
      <c r="FJ31" s="17" t="str">
        <f t="shared" si="59"/>
        <v/>
      </c>
      <c r="FK31" s="17" t="str">
        <f t="shared" si="59"/>
        <v/>
      </c>
      <c r="FL31" s="17" t="str">
        <f t="shared" si="59"/>
        <v/>
      </c>
      <c r="FM31" s="17" t="str">
        <f t="shared" si="59"/>
        <v/>
      </c>
      <c r="FN31" s="17" t="str">
        <f t="shared" si="59"/>
        <v/>
      </c>
      <c r="FO31" s="17" t="str">
        <f t="shared" si="60"/>
        <v/>
      </c>
      <c r="FP31" s="17" t="str">
        <f t="shared" si="60"/>
        <v/>
      </c>
      <c r="FQ31" s="17" t="str">
        <f t="shared" si="60"/>
        <v/>
      </c>
      <c r="FR31" s="17" t="str">
        <f t="shared" si="60"/>
        <v/>
      </c>
      <c r="FS31" s="17" t="str">
        <f t="shared" si="60"/>
        <v/>
      </c>
      <c r="FT31" s="17" t="str">
        <f t="shared" si="60"/>
        <v/>
      </c>
      <c r="FU31" s="17" t="str">
        <f t="shared" si="60"/>
        <v/>
      </c>
      <c r="FV31" s="17" t="str">
        <f t="shared" si="60"/>
        <v/>
      </c>
      <c r="FW31" s="17" t="str">
        <f t="shared" si="60"/>
        <v/>
      </c>
      <c r="FX31" s="17" t="str">
        <f t="shared" si="60"/>
        <v/>
      </c>
      <c r="FY31" s="17" t="str">
        <f t="shared" si="61"/>
        <v/>
      </c>
      <c r="FZ31" s="17" t="str">
        <f t="shared" si="61"/>
        <v/>
      </c>
      <c r="GA31" s="17" t="str">
        <f t="shared" si="61"/>
        <v/>
      </c>
      <c r="GB31" s="17" t="str">
        <f t="shared" si="61"/>
        <v/>
      </c>
      <c r="GC31" s="17" t="str">
        <f t="shared" si="61"/>
        <v/>
      </c>
      <c r="GD31" s="17" t="str">
        <f t="shared" si="61"/>
        <v/>
      </c>
      <c r="GE31" s="17" t="str">
        <f t="shared" si="61"/>
        <v/>
      </c>
      <c r="GF31" s="17" t="str">
        <f t="shared" si="61"/>
        <v/>
      </c>
      <c r="GG31" s="17" t="str">
        <f t="shared" si="61"/>
        <v/>
      </c>
      <c r="GH31" s="17" t="str">
        <f t="shared" si="61"/>
        <v/>
      </c>
      <c r="GI31" s="17" t="str">
        <f t="shared" si="62"/>
        <v/>
      </c>
      <c r="GJ31" s="17" t="str">
        <f t="shared" si="62"/>
        <v/>
      </c>
      <c r="GK31" s="17" t="str">
        <f t="shared" si="62"/>
        <v/>
      </c>
      <c r="GL31" s="17" t="str">
        <f t="shared" si="62"/>
        <v/>
      </c>
      <c r="GM31" s="17" t="str">
        <f t="shared" si="62"/>
        <v/>
      </c>
      <c r="GN31" s="17" t="str">
        <f t="shared" si="62"/>
        <v/>
      </c>
      <c r="GO31" s="17" t="str">
        <f t="shared" si="62"/>
        <v/>
      </c>
      <c r="GP31" s="17" t="str">
        <f t="shared" si="62"/>
        <v/>
      </c>
      <c r="GQ31" s="17" t="str">
        <f t="shared" si="62"/>
        <v/>
      </c>
      <c r="GR31" s="17" t="str">
        <f t="shared" si="62"/>
        <v/>
      </c>
      <c r="GS31" s="17" t="str">
        <f t="shared" si="63"/>
        <v/>
      </c>
      <c r="GT31" s="17" t="str">
        <f t="shared" si="63"/>
        <v/>
      </c>
      <c r="GU31" s="17" t="str">
        <f t="shared" si="63"/>
        <v/>
      </c>
      <c r="GV31" s="17" t="str">
        <f t="shared" si="63"/>
        <v/>
      </c>
      <c r="GW31" s="17" t="str">
        <f t="shared" si="63"/>
        <v/>
      </c>
      <c r="GX31" s="17" t="str">
        <f t="shared" si="63"/>
        <v/>
      </c>
      <c r="GY31" s="17" t="str">
        <f t="shared" si="63"/>
        <v/>
      </c>
      <c r="GZ31" s="17" t="str">
        <f t="shared" si="63"/>
        <v/>
      </c>
      <c r="HA31" s="17" t="str">
        <f t="shared" si="63"/>
        <v/>
      </c>
      <c r="HB31" s="17" t="str">
        <f t="shared" si="63"/>
        <v/>
      </c>
      <c r="HC31" s="17" t="str">
        <f t="shared" si="64"/>
        <v/>
      </c>
      <c r="HD31" s="17" t="str">
        <f t="shared" si="64"/>
        <v/>
      </c>
      <c r="HE31" s="17" t="str">
        <f t="shared" si="64"/>
        <v/>
      </c>
      <c r="HF31" s="17" t="str">
        <f t="shared" si="64"/>
        <v/>
      </c>
      <c r="HG31" s="17" t="str">
        <f t="shared" si="64"/>
        <v/>
      </c>
      <c r="HH31" s="17" t="str">
        <f t="shared" si="64"/>
        <v/>
      </c>
      <c r="HI31" s="17" t="str">
        <f t="shared" si="64"/>
        <v/>
      </c>
      <c r="HJ31" s="17" t="str">
        <f t="shared" si="64"/>
        <v/>
      </c>
      <c r="HK31" s="17" t="str">
        <f t="shared" si="64"/>
        <v/>
      </c>
      <c r="HL31" s="17" t="str">
        <f t="shared" si="64"/>
        <v/>
      </c>
      <c r="HM31" s="17" t="str">
        <f t="shared" si="65"/>
        <v/>
      </c>
      <c r="HN31" s="17" t="str">
        <f t="shared" si="65"/>
        <v/>
      </c>
      <c r="HO31" s="17" t="str">
        <f t="shared" si="65"/>
        <v/>
      </c>
      <c r="HP31" s="17" t="str">
        <f t="shared" si="65"/>
        <v/>
      </c>
      <c r="HQ31" s="17" t="str">
        <f t="shared" si="65"/>
        <v/>
      </c>
      <c r="HR31" s="17" t="str">
        <f t="shared" si="65"/>
        <v/>
      </c>
      <c r="HS31" s="17" t="str">
        <f t="shared" si="65"/>
        <v/>
      </c>
      <c r="HT31" s="17" t="str">
        <f t="shared" si="65"/>
        <v/>
      </c>
      <c r="HU31" s="17" t="str">
        <f t="shared" si="65"/>
        <v/>
      </c>
      <c r="HV31" s="17" t="str">
        <f t="shared" si="65"/>
        <v/>
      </c>
      <c r="HW31" s="17" t="str">
        <f t="shared" si="65"/>
        <v/>
      </c>
      <c r="HX31" s="17" t="str">
        <f t="shared" si="65"/>
        <v/>
      </c>
      <c r="HY31" s="17" t="str">
        <f t="shared" si="65"/>
        <v/>
      </c>
      <c r="HZ31" s="17" t="str">
        <f t="shared" si="65"/>
        <v/>
      </c>
      <c r="IA31" s="17" t="str">
        <f t="shared" si="65"/>
        <v/>
      </c>
    </row>
    <row r="32" spans="1:235" ht="25.95" customHeight="1" x14ac:dyDescent="0.3">
      <c r="A32" s="7">
        <v>27</v>
      </c>
      <c r="B32" s="7">
        <f>Premissas!$B$6</f>
        <v>6</v>
      </c>
      <c r="C32" s="7">
        <f>26*Premissas!$B$8</f>
        <v>315.15151515151518</v>
      </c>
      <c r="D32" s="7">
        <f>C32+Premissas!$B$9</f>
        <v>363.15151515151518</v>
      </c>
      <c r="E32" s="7">
        <f>C32+Premissas!$B$11</f>
        <v>369.15151515151518</v>
      </c>
      <c r="F32" s="7">
        <f>E32+Premissas!$B$8</f>
        <v>381.27272727272731</v>
      </c>
      <c r="G32" s="7">
        <f>Premissas!$B$11</f>
        <v>54</v>
      </c>
      <c r="H32" s="7">
        <f>Premissas!$B$12</f>
        <v>3</v>
      </c>
      <c r="I32" s="7" t="s">
        <v>47</v>
      </c>
      <c r="J32" s="8" t="s">
        <v>48</v>
      </c>
      <c r="K32" s="17" t="str">
        <f t="shared" si="44"/>
        <v/>
      </c>
      <c r="L32" s="17" t="str">
        <f t="shared" si="44"/>
        <v/>
      </c>
      <c r="M32" s="17" t="str">
        <f t="shared" si="44"/>
        <v/>
      </c>
      <c r="N32" s="17" t="str">
        <f t="shared" si="44"/>
        <v/>
      </c>
      <c r="O32" s="17" t="str">
        <f t="shared" si="44"/>
        <v/>
      </c>
      <c r="P32" s="17" t="str">
        <f t="shared" si="44"/>
        <v/>
      </c>
      <c r="Q32" s="17" t="str">
        <f t="shared" si="44"/>
        <v/>
      </c>
      <c r="R32" s="17" t="str">
        <f t="shared" si="44"/>
        <v/>
      </c>
      <c r="S32" s="17" t="str">
        <f t="shared" si="44"/>
        <v/>
      </c>
      <c r="T32" s="17" t="str">
        <f t="shared" si="44"/>
        <v/>
      </c>
      <c r="U32" s="17" t="str">
        <f t="shared" si="45"/>
        <v/>
      </c>
      <c r="V32" s="17" t="str">
        <f t="shared" si="45"/>
        <v/>
      </c>
      <c r="W32" s="17" t="str">
        <f t="shared" si="45"/>
        <v/>
      </c>
      <c r="X32" s="17" t="str">
        <f t="shared" si="45"/>
        <v/>
      </c>
      <c r="Y32" s="17" t="str">
        <f t="shared" si="45"/>
        <v/>
      </c>
      <c r="Z32" s="17" t="str">
        <f t="shared" si="45"/>
        <v/>
      </c>
      <c r="AA32" s="17" t="str">
        <f t="shared" si="45"/>
        <v/>
      </c>
      <c r="AB32" s="17" t="str">
        <f t="shared" si="45"/>
        <v/>
      </c>
      <c r="AC32" s="17" t="str">
        <f t="shared" si="45"/>
        <v/>
      </c>
      <c r="AD32" s="17" t="str">
        <f t="shared" si="45"/>
        <v/>
      </c>
      <c r="AE32" s="17" t="str">
        <f t="shared" si="46"/>
        <v/>
      </c>
      <c r="AF32" s="17" t="str">
        <f t="shared" si="46"/>
        <v/>
      </c>
      <c r="AG32" s="17" t="str">
        <f t="shared" si="46"/>
        <v/>
      </c>
      <c r="AH32" s="17" t="str">
        <f t="shared" si="46"/>
        <v/>
      </c>
      <c r="AI32" s="17" t="str">
        <f t="shared" si="46"/>
        <v/>
      </c>
      <c r="AJ32" s="17" t="str">
        <f t="shared" si="46"/>
        <v/>
      </c>
      <c r="AK32" s="17" t="str">
        <f t="shared" si="46"/>
        <v/>
      </c>
      <c r="AL32" s="17" t="str">
        <f t="shared" si="46"/>
        <v/>
      </c>
      <c r="AM32" s="17" t="str">
        <f t="shared" si="46"/>
        <v/>
      </c>
      <c r="AN32" s="17" t="str">
        <f t="shared" si="46"/>
        <v/>
      </c>
      <c r="AO32" s="17" t="str">
        <f t="shared" si="47"/>
        <v/>
      </c>
      <c r="AP32" s="17" t="str">
        <f t="shared" si="47"/>
        <v/>
      </c>
      <c r="AQ32" s="17" t="str">
        <f t="shared" si="47"/>
        <v/>
      </c>
      <c r="AR32" s="17" t="str">
        <f t="shared" si="47"/>
        <v/>
      </c>
      <c r="AS32" s="17" t="str">
        <f t="shared" si="47"/>
        <v/>
      </c>
      <c r="AT32" s="17" t="str">
        <f t="shared" si="47"/>
        <v/>
      </c>
      <c r="AU32" s="17" t="str">
        <f t="shared" si="47"/>
        <v/>
      </c>
      <c r="AV32" s="17" t="str">
        <f t="shared" si="47"/>
        <v/>
      </c>
      <c r="AW32" s="17" t="str">
        <f t="shared" si="47"/>
        <v/>
      </c>
      <c r="AX32" s="17" t="str">
        <f t="shared" si="47"/>
        <v/>
      </c>
      <c r="AY32" s="17" t="str">
        <f t="shared" si="48"/>
        <v/>
      </c>
      <c r="AZ32" s="17" t="str">
        <f t="shared" si="48"/>
        <v/>
      </c>
      <c r="BA32" s="17" t="str">
        <f t="shared" si="48"/>
        <v/>
      </c>
      <c r="BB32" s="17" t="str">
        <f t="shared" si="48"/>
        <v/>
      </c>
      <c r="BC32" s="17" t="str">
        <f t="shared" si="48"/>
        <v/>
      </c>
      <c r="BD32" s="17" t="str">
        <f t="shared" si="48"/>
        <v/>
      </c>
      <c r="BE32" s="17" t="str">
        <f t="shared" si="48"/>
        <v/>
      </c>
      <c r="BF32" s="17" t="str">
        <f t="shared" si="48"/>
        <v/>
      </c>
      <c r="BG32" s="17" t="str">
        <f t="shared" si="48"/>
        <v/>
      </c>
      <c r="BH32" s="17" t="str">
        <f t="shared" si="48"/>
        <v/>
      </c>
      <c r="BI32" s="17" t="str">
        <f t="shared" si="49"/>
        <v/>
      </c>
      <c r="BJ32" s="17" t="str">
        <f t="shared" si="49"/>
        <v/>
      </c>
      <c r="BK32" s="17" t="str">
        <f t="shared" si="49"/>
        <v/>
      </c>
      <c r="BL32" s="17" t="str">
        <f t="shared" si="49"/>
        <v/>
      </c>
      <c r="BM32" s="17" t="str">
        <f t="shared" si="49"/>
        <v/>
      </c>
      <c r="BN32" s="17" t="str">
        <f t="shared" si="49"/>
        <v/>
      </c>
      <c r="BO32" s="17" t="str">
        <f t="shared" si="49"/>
        <v/>
      </c>
      <c r="BP32" s="17" t="str">
        <f t="shared" si="49"/>
        <v/>
      </c>
      <c r="BQ32" s="17" t="str">
        <f t="shared" si="49"/>
        <v/>
      </c>
      <c r="BR32" s="17" t="str">
        <f t="shared" si="49"/>
        <v/>
      </c>
      <c r="BS32" s="17" t="str">
        <f t="shared" si="50"/>
        <v/>
      </c>
      <c r="BT32" s="17" t="str">
        <f t="shared" si="50"/>
        <v/>
      </c>
      <c r="BU32" s="17" t="str">
        <f t="shared" si="50"/>
        <v/>
      </c>
      <c r="BV32" s="17" t="str">
        <f t="shared" si="50"/>
        <v/>
      </c>
      <c r="BW32" s="17" t="str">
        <f t="shared" si="50"/>
        <v/>
      </c>
      <c r="BX32" s="17" t="str">
        <f t="shared" si="50"/>
        <v/>
      </c>
      <c r="BY32" s="17" t="str">
        <f t="shared" si="50"/>
        <v/>
      </c>
      <c r="BZ32" s="17" t="str">
        <f t="shared" si="50"/>
        <v/>
      </c>
      <c r="CA32" s="17" t="str">
        <f t="shared" si="50"/>
        <v/>
      </c>
      <c r="CB32" s="17" t="str">
        <f t="shared" si="50"/>
        <v/>
      </c>
      <c r="CC32" s="17" t="str">
        <f t="shared" si="51"/>
        <v/>
      </c>
      <c r="CD32" s="17" t="str">
        <f t="shared" si="51"/>
        <v/>
      </c>
      <c r="CE32" s="17" t="str">
        <f t="shared" si="51"/>
        <v/>
      </c>
      <c r="CF32" s="17" t="str">
        <f t="shared" si="51"/>
        <v/>
      </c>
      <c r="CG32" s="17" t="str">
        <f t="shared" si="51"/>
        <v/>
      </c>
      <c r="CH32" s="17" t="str">
        <f t="shared" si="51"/>
        <v/>
      </c>
      <c r="CI32" s="17" t="str">
        <f t="shared" si="51"/>
        <v/>
      </c>
      <c r="CJ32" s="17" t="str">
        <f t="shared" si="51"/>
        <v/>
      </c>
      <c r="CK32" s="17" t="str">
        <f t="shared" si="51"/>
        <v/>
      </c>
      <c r="CL32" s="17" t="str">
        <f t="shared" si="51"/>
        <v/>
      </c>
      <c r="CM32" s="17" t="str">
        <f t="shared" si="52"/>
        <v/>
      </c>
      <c r="CN32" s="17" t="str">
        <f t="shared" si="52"/>
        <v/>
      </c>
      <c r="CO32" s="17" t="str">
        <f t="shared" si="52"/>
        <v/>
      </c>
      <c r="CP32" s="17" t="str">
        <f t="shared" si="52"/>
        <v/>
      </c>
      <c r="CQ32" s="17" t="str">
        <f t="shared" si="52"/>
        <v/>
      </c>
      <c r="CR32" s="17" t="str">
        <f t="shared" si="52"/>
        <v/>
      </c>
      <c r="CS32" s="17" t="str">
        <f t="shared" si="52"/>
        <v/>
      </c>
      <c r="CT32" s="17" t="str">
        <f t="shared" si="52"/>
        <v/>
      </c>
      <c r="CU32" s="17" t="str">
        <f t="shared" si="52"/>
        <v/>
      </c>
      <c r="CV32" s="17" t="str">
        <f t="shared" si="52"/>
        <v/>
      </c>
      <c r="CW32" s="17" t="str">
        <f t="shared" si="53"/>
        <v/>
      </c>
      <c r="CX32" s="17" t="str">
        <f t="shared" si="53"/>
        <v/>
      </c>
      <c r="CY32" s="17" t="str">
        <f t="shared" si="53"/>
        <v/>
      </c>
      <c r="CZ32" s="17" t="str">
        <f t="shared" si="53"/>
        <v/>
      </c>
      <c r="DA32" s="17" t="str">
        <f t="shared" si="53"/>
        <v/>
      </c>
      <c r="DB32" s="17" t="str">
        <f t="shared" si="53"/>
        <v/>
      </c>
      <c r="DC32" s="17" t="str">
        <f t="shared" si="53"/>
        <v/>
      </c>
      <c r="DD32" s="17" t="str">
        <f t="shared" si="53"/>
        <v/>
      </c>
      <c r="DE32" s="17" t="str">
        <f t="shared" si="53"/>
        <v/>
      </c>
      <c r="DF32" s="17" t="str">
        <f t="shared" si="53"/>
        <v/>
      </c>
      <c r="DG32" s="17" t="str">
        <f t="shared" si="54"/>
        <v/>
      </c>
      <c r="DH32" s="17" t="str">
        <f t="shared" si="54"/>
        <v/>
      </c>
      <c r="DI32" s="17" t="str">
        <f t="shared" si="54"/>
        <v/>
      </c>
      <c r="DJ32" s="17" t="str">
        <f t="shared" si="54"/>
        <v/>
      </c>
      <c r="DK32" s="17" t="str">
        <f t="shared" si="54"/>
        <v/>
      </c>
      <c r="DL32" s="17" t="str">
        <f t="shared" si="54"/>
        <v/>
      </c>
      <c r="DM32" s="17" t="str">
        <f t="shared" si="54"/>
        <v>R</v>
      </c>
      <c r="DN32" s="17" t="str">
        <f t="shared" si="54"/>
        <v>R</v>
      </c>
      <c r="DO32" s="17" t="str">
        <f t="shared" si="54"/>
        <v>R</v>
      </c>
      <c r="DP32" s="17" t="str">
        <f t="shared" si="54"/>
        <v>R</v>
      </c>
      <c r="DQ32" s="17" t="str">
        <f t="shared" si="55"/>
        <v>R</v>
      </c>
      <c r="DR32" s="17" t="str">
        <f t="shared" si="55"/>
        <v>R</v>
      </c>
      <c r="DS32" s="17" t="str">
        <f t="shared" si="55"/>
        <v>R</v>
      </c>
      <c r="DT32" s="17" t="str">
        <f t="shared" si="55"/>
        <v>R</v>
      </c>
      <c r="DU32" s="17" t="str">
        <f t="shared" si="55"/>
        <v>R</v>
      </c>
      <c r="DV32" s="17" t="str">
        <f t="shared" si="55"/>
        <v>R</v>
      </c>
      <c r="DW32" s="17" t="str">
        <f t="shared" si="55"/>
        <v>R</v>
      </c>
      <c r="DX32" s="17" t="str">
        <f t="shared" si="55"/>
        <v>R</v>
      </c>
      <c r="DY32" s="17" t="str">
        <f t="shared" si="55"/>
        <v>R</v>
      </c>
      <c r="DZ32" s="17" t="str">
        <f t="shared" si="55"/>
        <v>R</v>
      </c>
      <c r="EA32" s="17" t="str">
        <f t="shared" si="56"/>
        <v>R</v>
      </c>
      <c r="EB32" s="17" t="str">
        <f t="shared" si="56"/>
        <v>R</v>
      </c>
      <c r="EC32" s="17" t="str">
        <f t="shared" si="56"/>
        <v>P</v>
      </c>
      <c r="ED32" s="17" t="str">
        <f t="shared" si="56"/>
        <v>P</v>
      </c>
      <c r="EE32" s="17" t="str">
        <f t="shared" si="56"/>
        <v>T</v>
      </c>
      <c r="EF32" s="17" t="str">
        <f t="shared" si="56"/>
        <v>T</v>
      </c>
      <c r="EG32" s="17" t="str">
        <f t="shared" si="56"/>
        <v>T</v>
      </c>
      <c r="EH32" s="17" t="str">
        <f t="shared" si="56"/>
        <v>T</v>
      </c>
      <c r="EI32" s="17" t="str">
        <f t="shared" si="56"/>
        <v/>
      </c>
      <c r="EJ32" s="17" t="str">
        <f t="shared" si="56"/>
        <v/>
      </c>
      <c r="EK32" s="17" t="str">
        <f t="shared" si="57"/>
        <v/>
      </c>
      <c r="EL32" s="17" t="str">
        <f t="shared" si="57"/>
        <v/>
      </c>
      <c r="EM32" s="17" t="str">
        <f t="shared" si="57"/>
        <v/>
      </c>
      <c r="EN32" s="17" t="str">
        <f t="shared" si="57"/>
        <v/>
      </c>
      <c r="EO32" s="17" t="str">
        <f t="shared" si="57"/>
        <v/>
      </c>
      <c r="EP32" s="17" t="str">
        <f t="shared" si="57"/>
        <v/>
      </c>
      <c r="EQ32" s="17" t="str">
        <f t="shared" si="57"/>
        <v/>
      </c>
      <c r="ER32" s="17" t="str">
        <f t="shared" si="57"/>
        <v/>
      </c>
      <c r="ES32" s="17" t="str">
        <f t="shared" si="57"/>
        <v/>
      </c>
      <c r="ET32" s="17" t="str">
        <f t="shared" si="57"/>
        <v/>
      </c>
      <c r="EU32" s="17" t="str">
        <f t="shared" si="58"/>
        <v/>
      </c>
      <c r="EV32" s="17" t="str">
        <f t="shared" si="58"/>
        <v/>
      </c>
      <c r="EW32" s="17" t="str">
        <f t="shared" si="58"/>
        <v/>
      </c>
      <c r="EX32" s="17" t="str">
        <f t="shared" si="58"/>
        <v/>
      </c>
      <c r="EY32" s="17" t="str">
        <f t="shared" si="58"/>
        <v/>
      </c>
      <c r="EZ32" s="17" t="str">
        <f t="shared" si="58"/>
        <v/>
      </c>
      <c r="FA32" s="17" t="str">
        <f t="shared" si="58"/>
        <v/>
      </c>
      <c r="FB32" s="17" t="str">
        <f t="shared" si="58"/>
        <v/>
      </c>
      <c r="FC32" s="17" t="str">
        <f t="shared" si="58"/>
        <v/>
      </c>
      <c r="FD32" s="17" t="str">
        <f t="shared" si="58"/>
        <v/>
      </c>
      <c r="FE32" s="17" t="str">
        <f t="shared" si="59"/>
        <v/>
      </c>
      <c r="FF32" s="17" t="str">
        <f t="shared" si="59"/>
        <v/>
      </c>
      <c r="FG32" s="17" t="str">
        <f t="shared" si="59"/>
        <v/>
      </c>
      <c r="FH32" s="17" t="str">
        <f t="shared" si="59"/>
        <v/>
      </c>
      <c r="FI32" s="17" t="str">
        <f t="shared" si="59"/>
        <v/>
      </c>
      <c r="FJ32" s="17" t="str">
        <f t="shared" si="59"/>
        <v/>
      </c>
      <c r="FK32" s="17" t="str">
        <f t="shared" si="59"/>
        <v/>
      </c>
      <c r="FL32" s="17" t="str">
        <f t="shared" si="59"/>
        <v/>
      </c>
      <c r="FM32" s="17" t="str">
        <f t="shared" si="59"/>
        <v/>
      </c>
      <c r="FN32" s="17" t="str">
        <f t="shared" si="59"/>
        <v/>
      </c>
      <c r="FO32" s="17" t="str">
        <f t="shared" si="60"/>
        <v/>
      </c>
      <c r="FP32" s="17" t="str">
        <f t="shared" si="60"/>
        <v/>
      </c>
      <c r="FQ32" s="17" t="str">
        <f t="shared" si="60"/>
        <v/>
      </c>
      <c r="FR32" s="17" t="str">
        <f t="shared" si="60"/>
        <v/>
      </c>
      <c r="FS32" s="17" t="str">
        <f t="shared" si="60"/>
        <v/>
      </c>
      <c r="FT32" s="17" t="str">
        <f t="shared" si="60"/>
        <v/>
      </c>
      <c r="FU32" s="17" t="str">
        <f t="shared" si="60"/>
        <v/>
      </c>
      <c r="FV32" s="17" t="str">
        <f t="shared" si="60"/>
        <v/>
      </c>
      <c r="FW32" s="17" t="str">
        <f t="shared" si="60"/>
        <v/>
      </c>
      <c r="FX32" s="17" t="str">
        <f t="shared" si="60"/>
        <v/>
      </c>
      <c r="FY32" s="17" t="str">
        <f t="shared" si="61"/>
        <v/>
      </c>
      <c r="FZ32" s="17" t="str">
        <f t="shared" si="61"/>
        <v/>
      </c>
      <c r="GA32" s="17" t="str">
        <f t="shared" si="61"/>
        <v/>
      </c>
      <c r="GB32" s="17" t="str">
        <f t="shared" si="61"/>
        <v/>
      </c>
      <c r="GC32" s="17" t="str">
        <f t="shared" si="61"/>
        <v/>
      </c>
      <c r="GD32" s="17" t="str">
        <f t="shared" si="61"/>
        <v/>
      </c>
      <c r="GE32" s="17" t="str">
        <f t="shared" si="61"/>
        <v/>
      </c>
      <c r="GF32" s="17" t="str">
        <f t="shared" si="61"/>
        <v/>
      </c>
      <c r="GG32" s="17" t="str">
        <f t="shared" si="61"/>
        <v/>
      </c>
      <c r="GH32" s="17" t="str">
        <f t="shared" si="61"/>
        <v/>
      </c>
      <c r="GI32" s="17" t="str">
        <f t="shared" si="62"/>
        <v/>
      </c>
      <c r="GJ32" s="17" t="str">
        <f t="shared" si="62"/>
        <v/>
      </c>
      <c r="GK32" s="17" t="str">
        <f t="shared" si="62"/>
        <v/>
      </c>
      <c r="GL32" s="17" t="str">
        <f t="shared" si="62"/>
        <v/>
      </c>
      <c r="GM32" s="17" t="str">
        <f t="shared" si="62"/>
        <v/>
      </c>
      <c r="GN32" s="17" t="str">
        <f t="shared" si="62"/>
        <v/>
      </c>
      <c r="GO32" s="17" t="str">
        <f t="shared" si="62"/>
        <v/>
      </c>
      <c r="GP32" s="17" t="str">
        <f t="shared" si="62"/>
        <v/>
      </c>
      <c r="GQ32" s="17" t="str">
        <f t="shared" si="62"/>
        <v/>
      </c>
      <c r="GR32" s="17" t="str">
        <f t="shared" si="62"/>
        <v/>
      </c>
      <c r="GS32" s="17" t="str">
        <f t="shared" si="63"/>
        <v/>
      </c>
      <c r="GT32" s="17" t="str">
        <f t="shared" si="63"/>
        <v/>
      </c>
      <c r="GU32" s="17" t="str">
        <f t="shared" si="63"/>
        <v/>
      </c>
      <c r="GV32" s="17" t="str">
        <f t="shared" si="63"/>
        <v/>
      </c>
      <c r="GW32" s="17" t="str">
        <f t="shared" si="63"/>
        <v/>
      </c>
      <c r="GX32" s="17" t="str">
        <f t="shared" si="63"/>
        <v/>
      </c>
      <c r="GY32" s="17" t="str">
        <f t="shared" si="63"/>
        <v/>
      </c>
      <c r="GZ32" s="17" t="str">
        <f t="shared" si="63"/>
        <v/>
      </c>
      <c r="HA32" s="17" t="str">
        <f t="shared" si="63"/>
        <v/>
      </c>
      <c r="HB32" s="17" t="str">
        <f t="shared" si="63"/>
        <v/>
      </c>
      <c r="HC32" s="17" t="str">
        <f t="shared" si="64"/>
        <v/>
      </c>
      <c r="HD32" s="17" t="str">
        <f t="shared" si="64"/>
        <v/>
      </c>
      <c r="HE32" s="17" t="str">
        <f t="shared" si="64"/>
        <v/>
      </c>
      <c r="HF32" s="17" t="str">
        <f t="shared" si="64"/>
        <v/>
      </c>
      <c r="HG32" s="17" t="str">
        <f t="shared" si="64"/>
        <v/>
      </c>
      <c r="HH32" s="17" t="str">
        <f t="shared" si="64"/>
        <v/>
      </c>
      <c r="HI32" s="17" t="str">
        <f t="shared" si="64"/>
        <v/>
      </c>
      <c r="HJ32" s="17" t="str">
        <f t="shared" si="64"/>
        <v/>
      </c>
      <c r="HK32" s="17" t="str">
        <f t="shared" si="64"/>
        <v/>
      </c>
      <c r="HL32" s="17" t="str">
        <f t="shared" si="64"/>
        <v/>
      </c>
      <c r="HM32" s="17" t="str">
        <f t="shared" si="65"/>
        <v/>
      </c>
      <c r="HN32" s="17" t="str">
        <f t="shared" si="65"/>
        <v/>
      </c>
      <c r="HO32" s="17" t="str">
        <f t="shared" si="65"/>
        <v/>
      </c>
      <c r="HP32" s="17" t="str">
        <f t="shared" si="65"/>
        <v/>
      </c>
      <c r="HQ32" s="17" t="str">
        <f t="shared" si="65"/>
        <v/>
      </c>
      <c r="HR32" s="17" t="str">
        <f t="shared" si="65"/>
        <v/>
      </c>
      <c r="HS32" s="17" t="str">
        <f t="shared" si="65"/>
        <v/>
      </c>
      <c r="HT32" s="17" t="str">
        <f t="shared" si="65"/>
        <v/>
      </c>
      <c r="HU32" s="17" t="str">
        <f t="shared" si="65"/>
        <v/>
      </c>
      <c r="HV32" s="17" t="str">
        <f t="shared" si="65"/>
        <v/>
      </c>
      <c r="HW32" s="17" t="str">
        <f t="shared" si="65"/>
        <v/>
      </c>
      <c r="HX32" s="17" t="str">
        <f t="shared" si="65"/>
        <v/>
      </c>
      <c r="HY32" s="17" t="str">
        <f t="shared" si="65"/>
        <v/>
      </c>
      <c r="HZ32" s="17" t="str">
        <f t="shared" si="65"/>
        <v/>
      </c>
      <c r="IA32" s="17" t="str">
        <f t="shared" si="65"/>
        <v/>
      </c>
    </row>
    <row r="33" spans="1:235" ht="25.95" customHeight="1" x14ac:dyDescent="0.3">
      <c r="A33" s="7">
        <v>28</v>
      </c>
      <c r="B33" s="7">
        <f>Premissas!$B$6</f>
        <v>6</v>
      </c>
      <c r="C33" s="7">
        <f>27*Premissas!$B$8</f>
        <v>327.27272727272731</v>
      </c>
      <c r="D33" s="7">
        <f>C33+Premissas!$B$9</f>
        <v>375.27272727272731</v>
      </c>
      <c r="E33" s="7">
        <f>C33+Premissas!$B$11</f>
        <v>381.27272727272731</v>
      </c>
      <c r="F33" s="7">
        <f>E33+Premissas!$B$8</f>
        <v>393.39393939393943</v>
      </c>
      <c r="G33" s="7">
        <f>Premissas!$B$11</f>
        <v>54</v>
      </c>
      <c r="H33" s="7">
        <f>Premissas!$B$12</f>
        <v>3</v>
      </c>
      <c r="I33" s="7" t="s">
        <v>47</v>
      </c>
      <c r="J33" s="8" t="s">
        <v>48</v>
      </c>
      <c r="K33" s="17" t="str">
        <f t="shared" si="44"/>
        <v/>
      </c>
      <c r="L33" s="17" t="str">
        <f t="shared" si="44"/>
        <v/>
      </c>
      <c r="M33" s="17" t="str">
        <f t="shared" si="44"/>
        <v/>
      </c>
      <c r="N33" s="17" t="str">
        <f t="shared" si="44"/>
        <v/>
      </c>
      <c r="O33" s="17" t="str">
        <f t="shared" si="44"/>
        <v/>
      </c>
      <c r="P33" s="17" t="str">
        <f t="shared" si="44"/>
        <v/>
      </c>
      <c r="Q33" s="17" t="str">
        <f t="shared" si="44"/>
        <v/>
      </c>
      <c r="R33" s="17" t="str">
        <f t="shared" si="44"/>
        <v/>
      </c>
      <c r="S33" s="17" t="str">
        <f t="shared" si="44"/>
        <v/>
      </c>
      <c r="T33" s="17" t="str">
        <f t="shared" si="44"/>
        <v/>
      </c>
      <c r="U33" s="17" t="str">
        <f t="shared" si="45"/>
        <v/>
      </c>
      <c r="V33" s="17" t="str">
        <f t="shared" si="45"/>
        <v/>
      </c>
      <c r="W33" s="17" t="str">
        <f t="shared" si="45"/>
        <v/>
      </c>
      <c r="X33" s="17" t="str">
        <f t="shared" si="45"/>
        <v/>
      </c>
      <c r="Y33" s="17" t="str">
        <f t="shared" si="45"/>
        <v/>
      </c>
      <c r="Z33" s="17" t="str">
        <f t="shared" si="45"/>
        <v/>
      </c>
      <c r="AA33" s="17" t="str">
        <f t="shared" si="45"/>
        <v/>
      </c>
      <c r="AB33" s="17" t="str">
        <f t="shared" si="45"/>
        <v/>
      </c>
      <c r="AC33" s="17" t="str">
        <f t="shared" si="45"/>
        <v/>
      </c>
      <c r="AD33" s="17" t="str">
        <f t="shared" si="45"/>
        <v/>
      </c>
      <c r="AE33" s="17" t="str">
        <f t="shared" si="46"/>
        <v/>
      </c>
      <c r="AF33" s="17" t="str">
        <f t="shared" si="46"/>
        <v/>
      </c>
      <c r="AG33" s="17" t="str">
        <f t="shared" si="46"/>
        <v/>
      </c>
      <c r="AH33" s="17" t="str">
        <f t="shared" si="46"/>
        <v/>
      </c>
      <c r="AI33" s="17" t="str">
        <f t="shared" si="46"/>
        <v/>
      </c>
      <c r="AJ33" s="17" t="str">
        <f t="shared" si="46"/>
        <v/>
      </c>
      <c r="AK33" s="17" t="str">
        <f t="shared" si="46"/>
        <v/>
      </c>
      <c r="AL33" s="17" t="str">
        <f t="shared" si="46"/>
        <v/>
      </c>
      <c r="AM33" s="17" t="str">
        <f t="shared" si="46"/>
        <v/>
      </c>
      <c r="AN33" s="17" t="str">
        <f t="shared" si="46"/>
        <v/>
      </c>
      <c r="AO33" s="17" t="str">
        <f t="shared" si="47"/>
        <v/>
      </c>
      <c r="AP33" s="17" t="str">
        <f t="shared" si="47"/>
        <v/>
      </c>
      <c r="AQ33" s="17" t="str">
        <f t="shared" si="47"/>
        <v/>
      </c>
      <c r="AR33" s="17" t="str">
        <f t="shared" si="47"/>
        <v/>
      </c>
      <c r="AS33" s="17" t="str">
        <f t="shared" si="47"/>
        <v/>
      </c>
      <c r="AT33" s="17" t="str">
        <f t="shared" si="47"/>
        <v/>
      </c>
      <c r="AU33" s="17" t="str">
        <f t="shared" si="47"/>
        <v/>
      </c>
      <c r="AV33" s="17" t="str">
        <f t="shared" si="47"/>
        <v/>
      </c>
      <c r="AW33" s="17" t="str">
        <f t="shared" si="47"/>
        <v/>
      </c>
      <c r="AX33" s="17" t="str">
        <f t="shared" si="47"/>
        <v/>
      </c>
      <c r="AY33" s="17" t="str">
        <f t="shared" si="48"/>
        <v/>
      </c>
      <c r="AZ33" s="17" t="str">
        <f t="shared" si="48"/>
        <v/>
      </c>
      <c r="BA33" s="17" t="str">
        <f t="shared" si="48"/>
        <v/>
      </c>
      <c r="BB33" s="17" t="str">
        <f t="shared" si="48"/>
        <v/>
      </c>
      <c r="BC33" s="17" t="str">
        <f t="shared" si="48"/>
        <v/>
      </c>
      <c r="BD33" s="17" t="str">
        <f t="shared" si="48"/>
        <v/>
      </c>
      <c r="BE33" s="17" t="str">
        <f t="shared" si="48"/>
        <v/>
      </c>
      <c r="BF33" s="17" t="str">
        <f t="shared" si="48"/>
        <v/>
      </c>
      <c r="BG33" s="17" t="str">
        <f t="shared" si="48"/>
        <v/>
      </c>
      <c r="BH33" s="17" t="str">
        <f t="shared" si="48"/>
        <v/>
      </c>
      <c r="BI33" s="17" t="str">
        <f t="shared" si="49"/>
        <v/>
      </c>
      <c r="BJ33" s="17" t="str">
        <f t="shared" si="49"/>
        <v/>
      </c>
      <c r="BK33" s="17" t="str">
        <f t="shared" si="49"/>
        <v/>
      </c>
      <c r="BL33" s="17" t="str">
        <f t="shared" si="49"/>
        <v/>
      </c>
      <c r="BM33" s="17" t="str">
        <f t="shared" si="49"/>
        <v/>
      </c>
      <c r="BN33" s="17" t="str">
        <f t="shared" si="49"/>
        <v/>
      </c>
      <c r="BO33" s="17" t="str">
        <f t="shared" si="49"/>
        <v/>
      </c>
      <c r="BP33" s="17" t="str">
        <f t="shared" si="49"/>
        <v/>
      </c>
      <c r="BQ33" s="17" t="str">
        <f t="shared" si="49"/>
        <v/>
      </c>
      <c r="BR33" s="17" t="str">
        <f t="shared" si="49"/>
        <v/>
      </c>
      <c r="BS33" s="17" t="str">
        <f t="shared" si="50"/>
        <v/>
      </c>
      <c r="BT33" s="17" t="str">
        <f t="shared" si="50"/>
        <v/>
      </c>
      <c r="BU33" s="17" t="str">
        <f t="shared" si="50"/>
        <v/>
      </c>
      <c r="BV33" s="17" t="str">
        <f t="shared" si="50"/>
        <v/>
      </c>
      <c r="BW33" s="17" t="str">
        <f t="shared" si="50"/>
        <v/>
      </c>
      <c r="BX33" s="17" t="str">
        <f t="shared" si="50"/>
        <v/>
      </c>
      <c r="BY33" s="17" t="str">
        <f t="shared" si="50"/>
        <v/>
      </c>
      <c r="BZ33" s="17" t="str">
        <f t="shared" si="50"/>
        <v/>
      </c>
      <c r="CA33" s="17" t="str">
        <f t="shared" si="50"/>
        <v/>
      </c>
      <c r="CB33" s="17" t="str">
        <f t="shared" si="50"/>
        <v/>
      </c>
      <c r="CC33" s="17" t="str">
        <f t="shared" si="51"/>
        <v/>
      </c>
      <c r="CD33" s="17" t="str">
        <f t="shared" si="51"/>
        <v/>
      </c>
      <c r="CE33" s="17" t="str">
        <f t="shared" si="51"/>
        <v/>
      </c>
      <c r="CF33" s="17" t="str">
        <f t="shared" si="51"/>
        <v/>
      </c>
      <c r="CG33" s="17" t="str">
        <f t="shared" si="51"/>
        <v/>
      </c>
      <c r="CH33" s="17" t="str">
        <f t="shared" si="51"/>
        <v/>
      </c>
      <c r="CI33" s="17" t="str">
        <f t="shared" si="51"/>
        <v/>
      </c>
      <c r="CJ33" s="17" t="str">
        <f t="shared" si="51"/>
        <v/>
      </c>
      <c r="CK33" s="17" t="str">
        <f t="shared" si="51"/>
        <v/>
      </c>
      <c r="CL33" s="17" t="str">
        <f t="shared" si="51"/>
        <v/>
      </c>
      <c r="CM33" s="17" t="str">
        <f t="shared" si="52"/>
        <v/>
      </c>
      <c r="CN33" s="17" t="str">
        <f t="shared" si="52"/>
        <v/>
      </c>
      <c r="CO33" s="17" t="str">
        <f t="shared" si="52"/>
        <v/>
      </c>
      <c r="CP33" s="17" t="str">
        <f t="shared" si="52"/>
        <v/>
      </c>
      <c r="CQ33" s="17" t="str">
        <f t="shared" si="52"/>
        <v/>
      </c>
      <c r="CR33" s="17" t="str">
        <f t="shared" si="52"/>
        <v/>
      </c>
      <c r="CS33" s="17" t="str">
        <f t="shared" si="52"/>
        <v/>
      </c>
      <c r="CT33" s="17" t="str">
        <f t="shared" si="52"/>
        <v/>
      </c>
      <c r="CU33" s="17" t="str">
        <f t="shared" si="52"/>
        <v/>
      </c>
      <c r="CV33" s="17" t="str">
        <f t="shared" si="52"/>
        <v/>
      </c>
      <c r="CW33" s="17" t="str">
        <f t="shared" si="53"/>
        <v/>
      </c>
      <c r="CX33" s="17" t="str">
        <f t="shared" si="53"/>
        <v/>
      </c>
      <c r="CY33" s="17" t="str">
        <f t="shared" si="53"/>
        <v/>
      </c>
      <c r="CZ33" s="17" t="str">
        <f t="shared" si="53"/>
        <v/>
      </c>
      <c r="DA33" s="17" t="str">
        <f t="shared" si="53"/>
        <v/>
      </c>
      <c r="DB33" s="17" t="str">
        <f t="shared" si="53"/>
        <v/>
      </c>
      <c r="DC33" s="17" t="str">
        <f t="shared" si="53"/>
        <v/>
      </c>
      <c r="DD33" s="17" t="str">
        <f t="shared" si="53"/>
        <v/>
      </c>
      <c r="DE33" s="17" t="str">
        <f t="shared" si="53"/>
        <v/>
      </c>
      <c r="DF33" s="17" t="str">
        <f t="shared" si="53"/>
        <v/>
      </c>
      <c r="DG33" s="17" t="str">
        <f t="shared" si="54"/>
        <v/>
      </c>
      <c r="DH33" s="17" t="str">
        <f t="shared" si="54"/>
        <v/>
      </c>
      <c r="DI33" s="17" t="str">
        <f t="shared" si="54"/>
        <v/>
      </c>
      <c r="DJ33" s="17" t="str">
        <f t="shared" si="54"/>
        <v/>
      </c>
      <c r="DK33" s="17" t="str">
        <f t="shared" si="54"/>
        <v/>
      </c>
      <c r="DL33" s="17" t="str">
        <f t="shared" si="54"/>
        <v/>
      </c>
      <c r="DM33" s="17" t="str">
        <f t="shared" si="54"/>
        <v/>
      </c>
      <c r="DN33" s="17" t="str">
        <f t="shared" si="54"/>
        <v/>
      </c>
      <c r="DO33" s="17" t="str">
        <f t="shared" si="54"/>
        <v/>
      </c>
      <c r="DP33" s="17" t="str">
        <f t="shared" si="54"/>
        <v/>
      </c>
      <c r="DQ33" s="17" t="str">
        <f t="shared" si="55"/>
        <v>R</v>
      </c>
      <c r="DR33" s="17" t="str">
        <f t="shared" si="55"/>
        <v>R</v>
      </c>
      <c r="DS33" s="17" t="str">
        <f t="shared" si="55"/>
        <v>R</v>
      </c>
      <c r="DT33" s="17" t="str">
        <f t="shared" si="55"/>
        <v>R</v>
      </c>
      <c r="DU33" s="17" t="str">
        <f t="shared" si="55"/>
        <v>R</v>
      </c>
      <c r="DV33" s="17" t="str">
        <f t="shared" si="55"/>
        <v>R</v>
      </c>
      <c r="DW33" s="17" t="str">
        <f t="shared" si="55"/>
        <v>R</v>
      </c>
      <c r="DX33" s="17" t="str">
        <f t="shared" si="55"/>
        <v>R</v>
      </c>
      <c r="DY33" s="17" t="str">
        <f t="shared" si="55"/>
        <v>R</v>
      </c>
      <c r="DZ33" s="17" t="str">
        <f t="shared" si="55"/>
        <v>R</v>
      </c>
      <c r="EA33" s="17" t="str">
        <f t="shared" si="56"/>
        <v>R</v>
      </c>
      <c r="EB33" s="17" t="str">
        <f t="shared" si="56"/>
        <v>R</v>
      </c>
      <c r="EC33" s="17" t="str">
        <f t="shared" si="56"/>
        <v>R</v>
      </c>
      <c r="ED33" s="17" t="str">
        <f t="shared" si="56"/>
        <v>R</v>
      </c>
      <c r="EE33" s="17" t="str">
        <f t="shared" si="56"/>
        <v>R</v>
      </c>
      <c r="EF33" s="17" t="str">
        <f t="shared" si="56"/>
        <v>R</v>
      </c>
      <c r="EG33" s="17" t="str">
        <f t="shared" si="56"/>
        <v>P</v>
      </c>
      <c r="EH33" s="17" t="str">
        <f t="shared" si="56"/>
        <v>P</v>
      </c>
      <c r="EI33" s="17" t="str">
        <f t="shared" si="56"/>
        <v>T</v>
      </c>
      <c r="EJ33" s="17" t="str">
        <f t="shared" si="56"/>
        <v>T</v>
      </c>
      <c r="EK33" s="17" t="str">
        <f t="shared" si="57"/>
        <v>T</v>
      </c>
      <c r="EL33" s="17" t="str">
        <f t="shared" si="57"/>
        <v>T</v>
      </c>
      <c r="EM33" s="17" t="str">
        <f t="shared" si="57"/>
        <v/>
      </c>
      <c r="EN33" s="17" t="str">
        <f t="shared" si="57"/>
        <v/>
      </c>
      <c r="EO33" s="17" t="str">
        <f t="shared" si="57"/>
        <v/>
      </c>
      <c r="EP33" s="17" t="str">
        <f t="shared" si="57"/>
        <v/>
      </c>
      <c r="EQ33" s="17" t="str">
        <f t="shared" si="57"/>
        <v/>
      </c>
      <c r="ER33" s="17" t="str">
        <f t="shared" si="57"/>
        <v/>
      </c>
      <c r="ES33" s="17" t="str">
        <f t="shared" si="57"/>
        <v/>
      </c>
      <c r="ET33" s="17" t="str">
        <f t="shared" si="57"/>
        <v/>
      </c>
      <c r="EU33" s="17" t="str">
        <f t="shared" si="58"/>
        <v/>
      </c>
      <c r="EV33" s="17" t="str">
        <f t="shared" si="58"/>
        <v/>
      </c>
      <c r="EW33" s="17" t="str">
        <f t="shared" si="58"/>
        <v/>
      </c>
      <c r="EX33" s="17" t="str">
        <f t="shared" si="58"/>
        <v/>
      </c>
      <c r="EY33" s="17" t="str">
        <f t="shared" si="58"/>
        <v/>
      </c>
      <c r="EZ33" s="17" t="str">
        <f t="shared" si="58"/>
        <v/>
      </c>
      <c r="FA33" s="17" t="str">
        <f t="shared" si="58"/>
        <v/>
      </c>
      <c r="FB33" s="17" t="str">
        <f t="shared" si="58"/>
        <v/>
      </c>
      <c r="FC33" s="17" t="str">
        <f t="shared" si="58"/>
        <v/>
      </c>
      <c r="FD33" s="17" t="str">
        <f t="shared" si="58"/>
        <v/>
      </c>
      <c r="FE33" s="17" t="str">
        <f t="shared" si="59"/>
        <v/>
      </c>
      <c r="FF33" s="17" t="str">
        <f t="shared" si="59"/>
        <v/>
      </c>
      <c r="FG33" s="17" t="str">
        <f t="shared" si="59"/>
        <v/>
      </c>
      <c r="FH33" s="17" t="str">
        <f t="shared" si="59"/>
        <v/>
      </c>
      <c r="FI33" s="17" t="str">
        <f t="shared" si="59"/>
        <v/>
      </c>
      <c r="FJ33" s="17" t="str">
        <f t="shared" si="59"/>
        <v/>
      </c>
      <c r="FK33" s="17" t="str">
        <f t="shared" si="59"/>
        <v/>
      </c>
      <c r="FL33" s="17" t="str">
        <f t="shared" si="59"/>
        <v/>
      </c>
      <c r="FM33" s="17" t="str">
        <f t="shared" si="59"/>
        <v/>
      </c>
      <c r="FN33" s="17" t="str">
        <f t="shared" si="59"/>
        <v/>
      </c>
      <c r="FO33" s="17" t="str">
        <f t="shared" si="60"/>
        <v/>
      </c>
      <c r="FP33" s="17" t="str">
        <f t="shared" si="60"/>
        <v/>
      </c>
      <c r="FQ33" s="17" t="str">
        <f t="shared" si="60"/>
        <v/>
      </c>
      <c r="FR33" s="17" t="str">
        <f t="shared" si="60"/>
        <v/>
      </c>
      <c r="FS33" s="17" t="str">
        <f t="shared" si="60"/>
        <v/>
      </c>
      <c r="FT33" s="17" t="str">
        <f t="shared" si="60"/>
        <v/>
      </c>
      <c r="FU33" s="17" t="str">
        <f t="shared" si="60"/>
        <v/>
      </c>
      <c r="FV33" s="17" t="str">
        <f t="shared" si="60"/>
        <v/>
      </c>
      <c r="FW33" s="17" t="str">
        <f t="shared" si="60"/>
        <v/>
      </c>
      <c r="FX33" s="17" t="str">
        <f t="shared" si="60"/>
        <v/>
      </c>
      <c r="FY33" s="17" t="str">
        <f t="shared" si="61"/>
        <v/>
      </c>
      <c r="FZ33" s="17" t="str">
        <f t="shared" si="61"/>
        <v/>
      </c>
      <c r="GA33" s="17" t="str">
        <f t="shared" si="61"/>
        <v/>
      </c>
      <c r="GB33" s="17" t="str">
        <f t="shared" si="61"/>
        <v/>
      </c>
      <c r="GC33" s="17" t="str">
        <f t="shared" si="61"/>
        <v/>
      </c>
      <c r="GD33" s="17" t="str">
        <f t="shared" si="61"/>
        <v/>
      </c>
      <c r="GE33" s="17" t="str">
        <f t="shared" si="61"/>
        <v/>
      </c>
      <c r="GF33" s="17" t="str">
        <f t="shared" si="61"/>
        <v/>
      </c>
      <c r="GG33" s="17" t="str">
        <f t="shared" si="61"/>
        <v/>
      </c>
      <c r="GH33" s="17" t="str">
        <f t="shared" si="61"/>
        <v/>
      </c>
      <c r="GI33" s="17" t="str">
        <f t="shared" si="62"/>
        <v/>
      </c>
      <c r="GJ33" s="17" t="str">
        <f t="shared" si="62"/>
        <v/>
      </c>
      <c r="GK33" s="17" t="str">
        <f t="shared" si="62"/>
        <v/>
      </c>
      <c r="GL33" s="17" t="str">
        <f t="shared" si="62"/>
        <v/>
      </c>
      <c r="GM33" s="17" t="str">
        <f t="shared" si="62"/>
        <v/>
      </c>
      <c r="GN33" s="17" t="str">
        <f t="shared" si="62"/>
        <v/>
      </c>
      <c r="GO33" s="17" t="str">
        <f t="shared" si="62"/>
        <v/>
      </c>
      <c r="GP33" s="17" t="str">
        <f t="shared" si="62"/>
        <v/>
      </c>
      <c r="GQ33" s="17" t="str">
        <f t="shared" si="62"/>
        <v/>
      </c>
      <c r="GR33" s="17" t="str">
        <f t="shared" si="62"/>
        <v/>
      </c>
      <c r="GS33" s="17" t="str">
        <f t="shared" si="63"/>
        <v/>
      </c>
      <c r="GT33" s="17" t="str">
        <f t="shared" si="63"/>
        <v/>
      </c>
      <c r="GU33" s="17" t="str">
        <f t="shared" si="63"/>
        <v/>
      </c>
      <c r="GV33" s="17" t="str">
        <f t="shared" si="63"/>
        <v/>
      </c>
      <c r="GW33" s="17" t="str">
        <f t="shared" si="63"/>
        <v/>
      </c>
      <c r="GX33" s="17" t="str">
        <f t="shared" si="63"/>
        <v/>
      </c>
      <c r="GY33" s="17" t="str">
        <f t="shared" si="63"/>
        <v/>
      </c>
      <c r="GZ33" s="17" t="str">
        <f t="shared" si="63"/>
        <v/>
      </c>
      <c r="HA33" s="17" t="str">
        <f t="shared" si="63"/>
        <v/>
      </c>
      <c r="HB33" s="17" t="str">
        <f t="shared" si="63"/>
        <v/>
      </c>
      <c r="HC33" s="17" t="str">
        <f t="shared" si="64"/>
        <v/>
      </c>
      <c r="HD33" s="17" t="str">
        <f t="shared" si="64"/>
        <v/>
      </c>
      <c r="HE33" s="17" t="str">
        <f t="shared" si="64"/>
        <v/>
      </c>
      <c r="HF33" s="17" t="str">
        <f t="shared" si="64"/>
        <v/>
      </c>
      <c r="HG33" s="17" t="str">
        <f t="shared" si="64"/>
        <v/>
      </c>
      <c r="HH33" s="17" t="str">
        <f t="shared" si="64"/>
        <v/>
      </c>
      <c r="HI33" s="17" t="str">
        <f t="shared" si="64"/>
        <v/>
      </c>
      <c r="HJ33" s="17" t="str">
        <f t="shared" si="64"/>
        <v/>
      </c>
      <c r="HK33" s="17" t="str">
        <f t="shared" si="64"/>
        <v/>
      </c>
      <c r="HL33" s="17" t="str">
        <f t="shared" si="64"/>
        <v/>
      </c>
      <c r="HM33" s="17" t="str">
        <f t="shared" si="65"/>
        <v/>
      </c>
      <c r="HN33" s="17" t="str">
        <f t="shared" si="65"/>
        <v/>
      </c>
      <c r="HO33" s="17" t="str">
        <f t="shared" si="65"/>
        <v/>
      </c>
      <c r="HP33" s="17" t="str">
        <f t="shared" si="65"/>
        <v/>
      </c>
      <c r="HQ33" s="17" t="str">
        <f t="shared" si="65"/>
        <v/>
      </c>
      <c r="HR33" s="17" t="str">
        <f t="shared" si="65"/>
        <v/>
      </c>
      <c r="HS33" s="17" t="str">
        <f t="shared" si="65"/>
        <v/>
      </c>
      <c r="HT33" s="17" t="str">
        <f t="shared" si="65"/>
        <v/>
      </c>
      <c r="HU33" s="17" t="str">
        <f t="shared" si="65"/>
        <v/>
      </c>
      <c r="HV33" s="17" t="str">
        <f t="shared" si="65"/>
        <v/>
      </c>
      <c r="HW33" s="17" t="str">
        <f t="shared" si="65"/>
        <v/>
      </c>
      <c r="HX33" s="17" t="str">
        <f t="shared" si="65"/>
        <v/>
      </c>
      <c r="HY33" s="17" t="str">
        <f t="shared" si="65"/>
        <v/>
      </c>
      <c r="HZ33" s="17" t="str">
        <f t="shared" si="65"/>
        <v/>
      </c>
      <c r="IA33" s="17" t="str">
        <f t="shared" si="65"/>
        <v/>
      </c>
    </row>
    <row r="34" spans="1:235" ht="25.95" customHeight="1" x14ac:dyDescent="0.3">
      <c r="A34" s="7">
        <v>29</v>
      </c>
      <c r="B34" s="7">
        <f>Premissas!$B$6</f>
        <v>6</v>
      </c>
      <c r="C34" s="7">
        <f>28*Premissas!$B$8</f>
        <v>339.39393939393943</v>
      </c>
      <c r="D34" s="7">
        <f>C34+Premissas!$B$9</f>
        <v>387.39393939393943</v>
      </c>
      <c r="E34" s="7">
        <f>C34+Premissas!$B$11</f>
        <v>393.39393939393943</v>
      </c>
      <c r="F34" s="7">
        <f>E34+Premissas!$B$8</f>
        <v>405.51515151515156</v>
      </c>
      <c r="G34" s="7">
        <f>Premissas!$B$11</f>
        <v>54</v>
      </c>
      <c r="H34" s="7">
        <f>Premissas!$B$12</f>
        <v>3</v>
      </c>
      <c r="I34" s="7" t="s">
        <v>47</v>
      </c>
      <c r="J34" s="8" t="s">
        <v>48</v>
      </c>
      <c r="K34" s="17" t="str">
        <f t="shared" si="44"/>
        <v/>
      </c>
      <c r="L34" s="17" t="str">
        <f t="shared" si="44"/>
        <v/>
      </c>
      <c r="M34" s="17" t="str">
        <f t="shared" si="44"/>
        <v/>
      </c>
      <c r="N34" s="17" t="str">
        <f t="shared" si="44"/>
        <v/>
      </c>
      <c r="O34" s="17" t="str">
        <f t="shared" si="44"/>
        <v/>
      </c>
      <c r="P34" s="17" t="str">
        <f t="shared" si="44"/>
        <v/>
      </c>
      <c r="Q34" s="17" t="str">
        <f t="shared" si="44"/>
        <v/>
      </c>
      <c r="R34" s="17" t="str">
        <f t="shared" si="44"/>
        <v/>
      </c>
      <c r="S34" s="17" t="str">
        <f t="shared" si="44"/>
        <v/>
      </c>
      <c r="T34" s="17" t="str">
        <f t="shared" si="44"/>
        <v/>
      </c>
      <c r="U34" s="17" t="str">
        <f t="shared" si="45"/>
        <v/>
      </c>
      <c r="V34" s="17" t="str">
        <f t="shared" si="45"/>
        <v/>
      </c>
      <c r="W34" s="17" t="str">
        <f t="shared" si="45"/>
        <v/>
      </c>
      <c r="X34" s="17" t="str">
        <f t="shared" si="45"/>
        <v/>
      </c>
      <c r="Y34" s="17" t="str">
        <f t="shared" si="45"/>
        <v/>
      </c>
      <c r="Z34" s="17" t="str">
        <f t="shared" si="45"/>
        <v/>
      </c>
      <c r="AA34" s="17" t="str">
        <f t="shared" si="45"/>
        <v/>
      </c>
      <c r="AB34" s="17" t="str">
        <f t="shared" si="45"/>
        <v/>
      </c>
      <c r="AC34" s="17" t="str">
        <f t="shared" si="45"/>
        <v/>
      </c>
      <c r="AD34" s="17" t="str">
        <f t="shared" si="45"/>
        <v/>
      </c>
      <c r="AE34" s="17" t="str">
        <f t="shared" si="46"/>
        <v/>
      </c>
      <c r="AF34" s="17" t="str">
        <f t="shared" si="46"/>
        <v/>
      </c>
      <c r="AG34" s="17" t="str">
        <f t="shared" si="46"/>
        <v/>
      </c>
      <c r="AH34" s="17" t="str">
        <f t="shared" si="46"/>
        <v/>
      </c>
      <c r="AI34" s="17" t="str">
        <f t="shared" si="46"/>
        <v/>
      </c>
      <c r="AJ34" s="17" t="str">
        <f t="shared" si="46"/>
        <v/>
      </c>
      <c r="AK34" s="17" t="str">
        <f t="shared" si="46"/>
        <v/>
      </c>
      <c r="AL34" s="17" t="str">
        <f t="shared" si="46"/>
        <v/>
      </c>
      <c r="AM34" s="17" t="str">
        <f t="shared" si="46"/>
        <v/>
      </c>
      <c r="AN34" s="17" t="str">
        <f t="shared" si="46"/>
        <v/>
      </c>
      <c r="AO34" s="17" t="str">
        <f t="shared" si="47"/>
        <v/>
      </c>
      <c r="AP34" s="17" t="str">
        <f t="shared" si="47"/>
        <v/>
      </c>
      <c r="AQ34" s="17" t="str">
        <f t="shared" si="47"/>
        <v/>
      </c>
      <c r="AR34" s="17" t="str">
        <f t="shared" si="47"/>
        <v/>
      </c>
      <c r="AS34" s="17" t="str">
        <f t="shared" si="47"/>
        <v/>
      </c>
      <c r="AT34" s="17" t="str">
        <f t="shared" si="47"/>
        <v/>
      </c>
      <c r="AU34" s="17" t="str">
        <f t="shared" si="47"/>
        <v/>
      </c>
      <c r="AV34" s="17" t="str">
        <f t="shared" si="47"/>
        <v/>
      </c>
      <c r="AW34" s="17" t="str">
        <f t="shared" si="47"/>
        <v/>
      </c>
      <c r="AX34" s="17" t="str">
        <f t="shared" si="47"/>
        <v/>
      </c>
      <c r="AY34" s="17" t="str">
        <f t="shared" si="48"/>
        <v/>
      </c>
      <c r="AZ34" s="17" t="str">
        <f t="shared" si="48"/>
        <v/>
      </c>
      <c r="BA34" s="17" t="str">
        <f t="shared" si="48"/>
        <v/>
      </c>
      <c r="BB34" s="17" t="str">
        <f t="shared" si="48"/>
        <v/>
      </c>
      <c r="BC34" s="17" t="str">
        <f t="shared" si="48"/>
        <v/>
      </c>
      <c r="BD34" s="17" t="str">
        <f t="shared" si="48"/>
        <v/>
      </c>
      <c r="BE34" s="17" t="str">
        <f t="shared" si="48"/>
        <v/>
      </c>
      <c r="BF34" s="17" t="str">
        <f t="shared" si="48"/>
        <v/>
      </c>
      <c r="BG34" s="17" t="str">
        <f t="shared" si="48"/>
        <v/>
      </c>
      <c r="BH34" s="17" t="str">
        <f t="shared" si="48"/>
        <v/>
      </c>
      <c r="BI34" s="17" t="str">
        <f t="shared" si="49"/>
        <v/>
      </c>
      <c r="BJ34" s="17" t="str">
        <f t="shared" si="49"/>
        <v/>
      </c>
      <c r="BK34" s="17" t="str">
        <f t="shared" si="49"/>
        <v/>
      </c>
      <c r="BL34" s="17" t="str">
        <f t="shared" si="49"/>
        <v/>
      </c>
      <c r="BM34" s="17" t="str">
        <f t="shared" si="49"/>
        <v/>
      </c>
      <c r="BN34" s="17" t="str">
        <f t="shared" si="49"/>
        <v/>
      </c>
      <c r="BO34" s="17" t="str">
        <f t="shared" si="49"/>
        <v/>
      </c>
      <c r="BP34" s="17" t="str">
        <f t="shared" si="49"/>
        <v/>
      </c>
      <c r="BQ34" s="17" t="str">
        <f t="shared" si="49"/>
        <v/>
      </c>
      <c r="BR34" s="17" t="str">
        <f t="shared" si="49"/>
        <v/>
      </c>
      <c r="BS34" s="17" t="str">
        <f t="shared" si="50"/>
        <v/>
      </c>
      <c r="BT34" s="17" t="str">
        <f t="shared" si="50"/>
        <v/>
      </c>
      <c r="BU34" s="17" t="str">
        <f t="shared" si="50"/>
        <v/>
      </c>
      <c r="BV34" s="17" t="str">
        <f t="shared" si="50"/>
        <v/>
      </c>
      <c r="BW34" s="17" t="str">
        <f t="shared" si="50"/>
        <v/>
      </c>
      <c r="BX34" s="17" t="str">
        <f t="shared" si="50"/>
        <v/>
      </c>
      <c r="BY34" s="17" t="str">
        <f t="shared" si="50"/>
        <v/>
      </c>
      <c r="BZ34" s="17" t="str">
        <f t="shared" si="50"/>
        <v/>
      </c>
      <c r="CA34" s="17" t="str">
        <f t="shared" si="50"/>
        <v/>
      </c>
      <c r="CB34" s="17" t="str">
        <f t="shared" si="50"/>
        <v/>
      </c>
      <c r="CC34" s="17" t="str">
        <f t="shared" si="51"/>
        <v/>
      </c>
      <c r="CD34" s="17" t="str">
        <f t="shared" si="51"/>
        <v/>
      </c>
      <c r="CE34" s="17" t="str">
        <f t="shared" si="51"/>
        <v/>
      </c>
      <c r="CF34" s="17" t="str">
        <f t="shared" si="51"/>
        <v/>
      </c>
      <c r="CG34" s="17" t="str">
        <f t="shared" si="51"/>
        <v/>
      </c>
      <c r="CH34" s="17" t="str">
        <f t="shared" si="51"/>
        <v/>
      </c>
      <c r="CI34" s="17" t="str">
        <f t="shared" si="51"/>
        <v/>
      </c>
      <c r="CJ34" s="17" t="str">
        <f t="shared" si="51"/>
        <v/>
      </c>
      <c r="CK34" s="17" t="str">
        <f t="shared" si="51"/>
        <v/>
      </c>
      <c r="CL34" s="17" t="str">
        <f t="shared" si="51"/>
        <v/>
      </c>
      <c r="CM34" s="17" t="str">
        <f t="shared" si="52"/>
        <v/>
      </c>
      <c r="CN34" s="17" t="str">
        <f t="shared" si="52"/>
        <v/>
      </c>
      <c r="CO34" s="17" t="str">
        <f t="shared" si="52"/>
        <v/>
      </c>
      <c r="CP34" s="17" t="str">
        <f t="shared" si="52"/>
        <v/>
      </c>
      <c r="CQ34" s="17" t="str">
        <f t="shared" si="52"/>
        <v/>
      </c>
      <c r="CR34" s="17" t="str">
        <f t="shared" si="52"/>
        <v/>
      </c>
      <c r="CS34" s="17" t="str">
        <f t="shared" si="52"/>
        <v/>
      </c>
      <c r="CT34" s="17" t="str">
        <f t="shared" si="52"/>
        <v/>
      </c>
      <c r="CU34" s="17" t="str">
        <f t="shared" si="52"/>
        <v/>
      </c>
      <c r="CV34" s="17" t="str">
        <f t="shared" si="52"/>
        <v/>
      </c>
      <c r="CW34" s="17" t="str">
        <f t="shared" si="53"/>
        <v/>
      </c>
      <c r="CX34" s="17" t="str">
        <f t="shared" si="53"/>
        <v/>
      </c>
      <c r="CY34" s="17" t="str">
        <f t="shared" si="53"/>
        <v/>
      </c>
      <c r="CZ34" s="17" t="str">
        <f t="shared" si="53"/>
        <v/>
      </c>
      <c r="DA34" s="17" t="str">
        <f t="shared" si="53"/>
        <v/>
      </c>
      <c r="DB34" s="17" t="str">
        <f t="shared" si="53"/>
        <v/>
      </c>
      <c r="DC34" s="17" t="str">
        <f t="shared" si="53"/>
        <v/>
      </c>
      <c r="DD34" s="17" t="str">
        <f t="shared" si="53"/>
        <v/>
      </c>
      <c r="DE34" s="17" t="str">
        <f t="shared" si="53"/>
        <v/>
      </c>
      <c r="DF34" s="17" t="str">
        <f t="shared" si="53"/>
        <v/>
      </c>
      <c r="DG34" s="17" t="str">
        <f t="shared" si="54"/>
        <v/>
      </c>
      <c r="DH34" s="17" t="str">
        <f t="shared" si="54"/>
        <v/>
      </c>
      <c r="DI34" s="17" t="str">
        <f t="shared" si="54"/>
        <v/>
      </c>
      <c r="DJ34" s="17" t="str">
        <f t="shared" si="54"/>
        <v/>
      </c>
      <c r="DK34" s="17" t="str">
        <f t="shared" si="54"/>
        <v/>
      </c>
      <c r="DL34" s="17" t="str">
        <f t="shared" si="54"/>
        <v/>
      </c>
      <c r="DM34" s="17" t="str">
        <f t="shared" si="54"/>
        <v/>
      </c>
      <c r="DN34" s="17" t="str">
        <f t="shared" si="54"/>
        <v/>
      </c>
      <c r="DO34" s="17" t="str">
        <f t="shared" si="54"/>
        <v/>
      </c>
      <c r="DP34" s="17" t="str">
        <f t="shared" si="54"/>
        <v/>
      </c>
      <c r="DQ34" s="17" t="str">
        <f t="shared" si="55"/>
        <v/>
      </c>
      <c r="DR34" s="17" t="str">
        <f t="shared" si="55"/>
        <v/>
      </c>
      <c r="DS34" s="17" t="str">
        <f t="shared" si="55"/>
        <v/>
      </c>
      <c r="DT34" s="17" t="str">
        <f t="shared" si="55"/>
        <v/>
      </c>
      <c r="DU34" s="17" t="str">
        <f t="shared" si="55"/>
        <v>R</v>
      </c>
      <c r="DV34" s="17" t="str">
        <f t="shared" si="55"/>
        <v>R</v>
      </c>
      <c r="DW34" s="17" t="str">
        <f t="shared" si="55"/>
        <v>R</v>
      </c>
      <c r="DX34" s="17" t="str">
        <f t="shared" si="55"/>
        <v>R</v>
      </c>
      <c r="DY34" s="17" t="str">
        <f t="shared" si="55"/>
        <v>R</v>
      </c>
      <c r="DZ34" s="17" t="str">
        <f t="shared" si="55"/>
        <v>R</v>
      </c>
      <c r="EA34" s="17" t="str">
        <f t="shared" si="56"/>
        <v>R</v>
      </c>
      <c r="EB34" s="17" t="str">
        <f t="shared" si="56"/>
        <v>R</v>
      </c>
      <c r="EC34" s="17" t="str">
        <f t="shared" si="56"/>
        <v>R</v>
      </c>
      <c r="ED34" s="17" t="str">
        <f t="shared" si="56"/>
        <v>R</v>
      </c>
      <c r="EE34" s="17" t="str">
        <f t="shared" si="56"/>
        <v>R</v>
      </c>
      <c r="EF34" s="17" t="str">
        <f t="shared" si="56"/>
        <v>R</v>
      </c>
      <c r="EG34" s="17" t="str">
        <f t="shared" si="56"/>
        <v>R</v>
      </c>
      <c r="EH34" s="17" t="str">
        <f t="shared" si="56"/>
        <v>R</v>
      </c>
      <c r="EI34" s="17" t="str">
        <f t="shared" si="56"/>
        <v>R</v>
      </c>
      <c r="EJ34" s="17" t="str">
        <f t="shared" si="56"/>
        <v>R</v>
      </c>
      <c r="EK34" s="17" t="str">
        <f t="shared" si="57"/>
        <v>P</v>
      </c>
      <c r="EL34" s="17" t="str">
        <f t="shared" si="57"/>
        <v>P</v>
      </c>
      <c r="EM34" s="17" t="str">
        <f t="shared" si="57"/>
        <v>T</v>
      </c>
      <c r="EN34" s="17" t="str">
        <f t="shared" si="57"/>
        <v>T</v>
      </c>
      <c r="EO34" s="17" t="str">
        <f t="shared" si="57"/>
        <v>T</v>
      </c>
      <c r="EP34" s="17" t="str">
        <f t="shared" si="57"/>
        <v>T</v>
      </c>
      <c r="EQ34" s="17" t="str">
        <f t="shared" si="57"/>
        <v/>
      </c>
      <c r="ER34" s="17" t="str">
        <f t="shared" si="57"/>
        <v/>
      </c>
      <c r="ES34" s="17" t="str">
        <f t="shared" si="57"/>
        <v/>
      </c>
      <c r="ET34" s="17" t="str">
        <f t="shared" si="57"/>
        <v/>
      </c>
      <c r="EU34" s="17" t="str">
        <f t="shared" si="58"/>
        <v/>
      </c>
      <c r="EV34" s="17" t="str">
        <f t="shared" si="58"/>
        <v/>
      </c>
      <c r="EW34" s="17" t="str">
        <f t="shared" si="58"/>
        <v/>
      </c>
      <c r="EX34" s="17" t="str">
        <f t="shared" si="58"/>
        <v/>
      </c>
      <c r="EY34" s="17" t="str">
        <f t="shared" si="58"/>
        <v/>
      </c>
      <c r="EZ34" s="17" t="str">
        <f t="shared" si="58"/>
        <v/>
      </c>
      <c r="FA34" s="17" t="str">
        <f t="shared" si="58"/>
        <v/>
      </c>
      <c r="FB34" s="17" t="str">
        <f t="shared" si="58"/>
        <v/>
      </c>
      <c r="FC34" s="17" t="str">
        <f t="shared" si="58"/>
        <v/>
      </c>
      <c r="FD34" s="17" t="str">
        <f t="shared" si="58"/>
        <v/>
      </c>
      <c r="FE34" s="17" t="str">
        <f t="shared" si="59"/>
        <v/>
      </c>
      <c r="FF34" s="17" t="str">
        <f t="shared" si="59"/>
        <v/>
      </c>
      <c r="FG34" s="17" t="str">
        <f t="shared" si="59"/>
        <v/>
      </c>
      <c r="FH34" s="17" t="str">
        <f t="shared" si="59"/>
        <v/>
      </c>
      <c r="FI34" s="17" t="str">
        <f t="shared" si="59"/>
        <v/>
      </c>
      <c r="FJ34" s="17" t="str">
        <f t="shared" si="59"/>
        <v/>
      </c>
      <c r="FK34" s="17" t="str">
        <f t="shared" si="59"/>
        <v/>
      </c>
      <c r="FL34" s="17" t="str">
        <f t="shared" si="59"/>
        <v/>
      </c>
      <c r="FM34" s="17" t="str">
        <f t="shared" si="59"/>
        <v/>
      </c>
      <c r="FN34" s="17" t="str">
        <f t="shared" si="59"/>
        <v/>
      </c>
      <c r="FO34" s="17" t="str">
        <f t="shared" si="60"/>
        <v/>
      </c>
      <c r="FP34" s="17" t="str">
        <f t="shared" si="60"/>
        <v/>
      </c>
      <c r="FQ34" s="17" t="str">
        <f t="shared" si="60"/>
        <v/>
      </c>
      <c r="FR34" s="17" t="str">
        <f t="shared" si="60"/>
        <v/>
      </c>
      <c r="FS34" s="17" t="str">
        <f t="shared" si="60"/>
        <v/>
      </c>
      <c r="FT34" s="17" t="str">
        <f t="shared" si="60"/>
        <v/>
      </c>
      <c r="FU34" s="17" t="str">
        <f t="shared" si="60"/>
        <v/>
      </c>
      <c r="FV34" s="17" t="str">
        <f t="shared" si="60"/>
        <v/>
      </c>
      <c r="FW34" s="17" t="str">
        <f t="shared" si="60"/>
        <v/>
      </c>
      <c r="FX34" s="17" t="str">
        <f t="shared" si="60"/>
        <v/>
      </c>
      <c r="FY34" s="17" t="str">
        <f t="shared" si="61"/>
        <v/>
      </c>
      <c r="FZ34" s="17" t="str">
        <f t="shared" si="61"/>
        <v/>
      </c>
      <c r="GA34" s="17" t="str">
        <f t="shared" si="61"/>
        <v/>
      </c>
      <c r="GB34" s="17" t="str">
        <f t="shared" si="61"/>
        <v/>
      </c>
      <c r="GC34" s="17" t="str">
        <f t="shared" si="61"/>
        <v/>
      </c>
      <c r="GD34" s="17" t="str">
        <f t="shared" si="61"/>
        <v/>
      </c>
      <c r="GE34" s="17" t="str">
        <f t="shared" si="61"/>
        <v/>
      </c>
      <c r="GF34" s="17" t="str">
        <f t="shared" si="61"/>
        <v/>
      </c>
      <c r="GG34" s="17" t="str">
        <f t="shared" si="61"/>
        <v/>
      </c>
      <c r="GH34" s="17" t="str">
        <f t="shared" si="61"/>
        <v/>
      </c>
      <c r="GI34" s="17" t="str">
        <f t="shared" si="62"/>
        <v/>
      </c>
      <c r="GJ34" s="17" t="str">
        <f t="shared" si="62"/>
        <v/>
      </c>
      <c r="GK34" s="17" t="str">
        <f t="shared" si="62"/>
        <v/>
      </c>
      <c r="GL34" s="17" t="str">
        <f t="shared" si="62"/>
        <v/>
      </c>
      <c r="GM34" s="17" t="str">
        <f t="shared" si="62"/>
        <v/>
      </c>
      <c r="GN34" s="17" t="str">
        <f t="shared" si="62"/>
        <v/>
      </c>
      <c r="GO34" s="17" t="str">
        <f t="shared" si="62"/>
        <v/>
      </c>
      <c r="GP34" s="17" t="str">
        <f t="shared" si="62"/>
        <v/>
      </c>
      <c r="GQ34" s="17" t="str">
        <f t="shared" si="62"/>
        <v/>
      </c>
      <c r="GR34" s="17" t="str">
        <f t="shared" si="62"/>
        <v/>
      </c>
      <c r="GS34" s="17" t="str">
        <f t="shared" si="63"/>
        <v/>
      </c>
      <c r="GT34" s="17" t="str">
        <f t="shared" si="63"/>
        <v/>
      </c>
      <c r="GU34" s="17" t="str">
        <f t="shared" si="63"/>
        <v/>
      </c>
      <c r="GV34" s="17" t="str">
        <f t="shared" si="63"/>
        <v/>
      </c>
      <c r="GW34" s="17" t="str">
        <f t="shared" si="63"/>
        <v/>
      </c>
      <c r="GX34" s="17" t="str">
        <f t="shared" si="63"/>
        <v/>
      </c>
      <c r="GY34" s="17" t="str">
        <f t="shared" si="63"/>
        <v/>
      </c>
      <c r="GZ34" s="17" t="str">
        <f t="shared" si="63"/>
        <v/>
      </c>
      <c r="HA34" s="17" t="str">
        <f t="shared" si="63"/>
        <v/>
      </c>
      <c r="HB34" s="17" t="str">
        <f t="shared" si="63"/>
        <v/>
      </c>
      <c r="HC34" s="17" t="str">
        <f t="shared" si="64"/>
        <v/>
      </c>
      <c r="HD34" s="17" t="str">
        <f t="shared" si="64"/>
        <v/>
      </c>
      <c r="HE34" s="17" t="str">
        <f t="shared" si="64"/>
        <v/>
      </c>
      <c r="HF34" s="17" t="str">
        <f t="shared" si="64"/>
        <v/>
      </c>
      <c r="HG34" s="17" t="str">
        <f t="shared" si="64"/>
        <v/>
      </c>
      <c r="HH34" s="17" t="str">
        <f t="shared" si="64"/>
        <v/>
      </c>
      <c r="HI34" s="17" t="str">
        <f t="shared" si="64"/>
        <v/>
      </c>
      <c r="HJ34" s="17" t="str">
        <f t="shared" si="64"/>
        <v/>
      </c>
      <c r="HK34" s="17" t="str">
        <f t="shared" si="64"/>
        <v/>
      </c>
      <c r="HL34" s="17" t="str">
        <f t="shared" si="64"/>
        <v/>
      </c>
      <c r="HM34" s="17" t="str">
        <f t="shared" si="65"/>
        <v/>
      </c>
      <c r="HN34" s="17" t="str">
        <f t="shared" si="65"/>
        <v/>
      </c>
      <c r="HO34" s="17" t="str">
        <f t="shared" si="65"/>
        <v/>
      </c>
      <c r="HP34" s="17" t="str">
        <f t="shared" si="65"/>
        <v/>
      </c>
      <c r="HQ34" s="17" t="str">
        <f t="shared" si="65"/>
        <v/>
      </c>
      <c r="HR34" s="17" t="str">
        <f t="shared" si="65"/>
        <v/>
      </c>
      <c r="HS34" s="17" t="str">
        <f t="shared" si="65"/>
        <v/>
      </c>
      <c r="HT34" s="17" t="str">
        <f t="shared" si="65"/>
        <v/>
      </c>
      <c r="HU34" s="17" t="str">
        <f t="shared" si="65"/>
        <v/>
      </c>
      <c r="HV34" s="17" t="str">
        <f t="shared" si="65"/>
        <v/>
      </c>
      <c r="HW34" s="17" t="str">
        <f t="shared" si="65"/>
        <v/>
      </c>
      <c r="HX34" s="17" t="str">
        <f t="shared" si="65"/>
        <v/>
      </c>
      <c r="HY34" s="17" t="str">
        <f t="shared" si="65"/>
        <v/>
      </c>
      <c r="HZ34" s="17" t="str">
        <f t="shared" si="65"/>
        <v/>
      </c>
      <c r="IA34" s="17" t="str">
        <f t="shared" si="65"/>
        <v/>
      </c>
    </row>
    <row r="35" spans="1:235" ht="25.95" customHeight="1" x14ac:dyDescent="0.3">
      <c r="A35" s="7">
        <v>30</v>
      </c>
      <c r="B35" s="7">
        <f>Premissas!$B$6</f>
        <v>6</v>
      </c>
      <c r="C35" s="7">
        <f>29*Premissas!$B$8</f>
        <v>351.51515151515156</v>
      </c>
      <c r="D35" s="7">
        <f>C35+Premissas!$B$9</f>
        <v>399.51515151515156</v>
      </c>
      <c r="E35" s="7">
        <f>C35+Premissas!$B$11</f>
        <v>405.51515151515156</v>
      </c>
      <c r="F35" s="7">
        <f>E35+Premissas!$B$8</f>
        <v>417.63636363636368</v>
      </c>
      <c r="G35" s="7">
        <f>Premissas!$B$11</f>
        <v>54</v>
      </c>
      <c r="H35" s="7">
        <f>Premissas!$B$12</f>
        <v>3</v>
      </c>
      <c r="I35" s="7" t="s">
        <v>47</v>
      </c>
      <c r="J35" s="8" t="s">
        <v>48</v>
      </c>
      <c r="K35" s="17" t="str">
        <f t="shared" si="44"/>
        <v/>
      </c>
      <c r="L35" s="17" t="str">
        <f t="shared" si="44"/>
        <v/>
      </c>
      <c r="M35" s="17" t="str">
        <f t="shared" si="44"/>
        <v/>
      </c>
      <c r="N35" s="17" t="str">
        <f t="shared" si="44"/>
        <v/>
      </c>
      <c r="O35" s="17" t="str">
        <f t="shared" si="44"/>
        <v/>
      </c>
      <c r="P35" s="17" t="str">
        <f t="shared" si="44"/>
        <v/>
      </c>
      <c r="Q35" s="17" t="str">
        <f t="shared" si="44"/>
        <v/>
      </c>
      <c r="R35" s="17" t="str">
        <f t="shared" si="44"/>
        <v/>
      </c>
      <c r="S35" s="17" t="str">
        <f t="shared" si="44"/>
        <v/>
      </c>
      <c r="T35" s="17" t="str">
        <f t="shared" si="44"/>
        <v/>
      </c>
      <c r="U35" s="17" t="str">
        <f t="shared" si="45"/>
        <v/>
      </c>
      <c r="V35" s="17" t="str">
        <f t="shared" si="45"/>
        <v/>
      </c>
      <c r="W35" s="17" t="str">
        <f t="shared" si="45"/>
        <v/>
      </c>
      <c r="X35" s="17" t="str">
        <f t="shared" si="45"/>
        <v/>
      </c>
      <c r="Y35" s="17" t="str">
        <f t="shared" si="45"/>
        <v/>
      </c>
      <c r="Z35" s="17" t="str">
        <f t="shared" si="45"/>
        <v/>
      </c>
      <c r="AA35" s="17" t="str">
        <f t="shared" si="45"/>
        <v/>
      </c>
      <c r="AB35" s="17" t="str">
        <f t="shared" si="45"/>
        <v/>
      </c>
      <c r="AC35" s="17" t="str">
        <f t="shared" si="45"/>
        <v/>
      </c>
      <c r="AD35" s="17" t="str">
        <f t="shared" si="45"/>
        <v/>
      </c>
      <c r="AE35" s="17" t="str">
        <f t="shared" si="46"/>
        <v/>
      </c>
      <c r="AF35" s="17" t="str">
        <f t="shared" si="46"/>
        <v/>
      </c>
      <c r="AG35" s="17" t="str">
        <f t="shared" si="46"/>
        <v/>
      </c>
      <c r="AH35" s="17" t="str">
        <f t="shared" si="46"/>
        <v/>
      </c>
      <c r="AI35" s="17" t="str">
        <f t="shared" si="46"/>
        <v/>
      </c>
      <c r="AJ35" s="17" t="str">
        <f t="shared" si="46"/>
        <v/>
      </c>
      <c r="AK35" s="17" t="str">
        <f t="shared" si="46"/>
        <v/>
      </c>
      <c r="AL35" s="17" t="str">
        <f t="shared" si="46"/>
        <v/>
      </c>
      <c r="AM35" s="17" t="str">
        <f t="shared" si="46"/>
        <v/>
      </c>
      <c r="AN35" s="17" t="str">
        <f t="shared" si="46"/>
        <v/>
      </c>
      <c r="AO35" s="17" t="str">
        <f t="shared" si="47"/>
        <v/>
      </c>
      <c r="AP35" s="17" t="str">
        <f t="shared" si="47"/>
        <v/>
      </c>
      <c r="AQ35" s="17" t="str">
        <f t="shared" si="47"/>
        <v/>
      </c>
      <c r="AR35" s="17" t="str">
        <f t="shared" si="47"/>
        <v/>
      </c>
      <c r="AS35" s="17" t="str">
        <f t="shared" si="47"/>
        <v/>
      </c>
      <c r="AT35" s="17" t="str">
        <f t="shared" si="47"/>
        <v/>
      </c>
      <c r="AU35" s="17" t="str">
        <f t="shared" si="47"/>
        <v/>
      </c>
      <c r="AV35" s="17" t="str">
        <f t="shared" si="47"/>
        <v/>
      </c>
      <c r="AW35" s="17" t="str">
        <f t="shared" si="47"/>
        <v/>
      </c>
      <c r="AX35" s="17" t="str">
        <f t="shared" si="47"/>
        <v/>
      </c>
      <c r="AY35" s="17" t="str">
        <f t="shared" si="48"/>
        <v/>
      </c>
      <c r="AZ35" s="17" t="str">
        <f t="shared" si="48"/>
        <v/>
      </c>
      <c r="BA35" s="17" t="str">
        <f t="shared" si="48"/>
        <v/>
      </c>
      <c r="BB35" s="17" t="str">
        <f t="shared" si="48"/>
        <v/>
      </c>
      <c r="BC35" s="17" t="str">
        <f t="shared" si="48"/>
        <v/>
      </c>
      <c r="BD35" s="17" t="str">
        <f t="shared" si="48"/>
        <v/>
      </c>
      <c r="BE35" s="17" t="str">
        <f t="shared" si="48"/>
        <v/>
      </c>
      <c r="BF35" s="17" t="str">
        <f t="shared" si="48"/>
        <v/>
      </c>
      <c r="BG35" s="17" t="str">
        <f t="shared" si="48"/>
        <v/>
      </c>
      <c r="BH35" s="17" t="str">
        <f t="shared" si="48"/>
        <v/>
      </c>
      <c r="BI35" s="17" t="str">
        <f t="shared" si="49"/>
        <v/>
      </c>
      <c r="BJ35" s="17" t="str">
        <f t="shared" si="49"/>
        <v/>
      </c>
      <c r="BK35" s="17" t="str">
        <f t="shared" si="49"/>
        <v/>
      </c>
      <c r="BL35" s="17" t="str">
        <f t="shared" si="49"/>
        <v/>
      </c>
      <c r="BM35" s="17" t="str">
        <f t="shared" si="49"/>
        <v/>
      </c>
      <c r="BN35" s="17" t="str">
        <f t="shared" si="49"/>
        <v/>
      </c>
      <c r="BO35" s="17" t="str">
        <f t="shared" si="49"/>
        <v/>
      </c>
      <c r="BP35" s="17" t="str">
        <f t="shared" si="49"/>
        <v/>
      </c>
      <c r="BQ35" s="17" t="str">
        <f t="shared" si="49"/>
        <v/>
      </c>
      <c r="BR35" s="17" t="str">
        <f t="shared" si="49"/>
        <v/>
      </c>
      <c r="BS35" s="17" t="str">
        <f t="shared" si="50"/>
        <v/>
      </c>
      <c r="BT35" s="17" t="str">
        <f t="shared" si="50"/>
        <v/>
      </c>
      <c r="BU35" s="17" t="str">
        <f t="shared" si="50"/>
        <v/>
      </c>
      <c r="BV35" s="17" t="str">
        <f t="shared" si="50"/>
        <v/>
      </c>
      <c r="BW35" s="17" t="str">
        <f t="shared" si="50"/>
        <v/>
      </c>
      <c r="BX35" s="17" t="str">
        <f t="shared" si="50"/>
        <v/>
      </c>
      <c r="BY35" s="17" t="str">
        <f t="shared" si="50"/>
        <v/>
      </c>
      <c r="BZ35" s="17" t="str">
        <f t="shared" si="50"/>
        <v/>
      </c>
      <c r="CA35" s="17" t="str">
        <f t="shared" si="50"/>
        <v/>
      </c>
      <c r="CB35" s="17" t="str">
        <f t="shared" si="50"/>
        <v/>
      </c>
      <c r="CC35" s="17" t="str">
        <f t="shared" si="51"/>
        <v/>
      </c>
      <c r="CD35" s="17" t="str">
        <f t="shared" si="51"/>
        <v/>
      </c>
      <c r="CE35" s="17" t="str">
        <f t="shared" si="51"/>
        <v/>
      </c>
      <c r="CF35" s="17" t="str">
        <f t="shared" si="51"/>
        <v/>
      </c>
      <c r="CG35" s="17" t="str">
        <f t="shared" si="51"/>
        <v/>
      </c>
      <c r="CH35" s="17" t="str">
        <f t="shared" si="51"/>
        <v/>
      </c>
      <c r="CI35" s="17" t="str">
        <f t="shared" si="51"/>
        <v/>
      </c>
      <c r="CJ35" s="17" t="str">
        <f t="shared" si="51"/>
        <v/>
      </c>
      <c r="CK35" s="17" t="str">
        <f t="shared" si="51"/>
        <v/>
      </c>
      <c r="CL35" s="17" t="str">
        <f t="shared" si="51"/>
        <v/>
      </c>
      <c r="CM35" s="17" t="str">
        <f t="shared" si="52"/>
        <v/>
      </c>
      <c r="CN35" s="17" t="str">
        <f t="shared" si="52"/>
        <v/>
      </c>
      <c r="CO35" s="17" t="str">
        <f t="shared" si="52"/>
        <v/>
      </c>
      <c r="CP35" s="17" t="str">
        <f t="shared" si="52"/>
        <v/>
      </c>
      <c r="CQ35" s="17" t="str">
        <f t="shared" si="52"/>
        <v/>
      </c>
      <c r="CR35" s="17" t="str">
        <f t="shared" si="52"/>
        <v/>
      </c>
      <c r="CS35" s="17" t="str">
        <f t="shared" si="52"/>
        <v/>
      </c>
      <c r="CT35" s="17" t="str">
        <f t="shared" si="52"/>
        <v/>
      </c>
      <c r="CU35" s="17" t="str">
        <f t="shared" si="52"/>
        <v/>
      </c>
      <c r="CV35" s="17" t="str">
        <f t="shared" si="52"/>
        <v/>
      </c>
      <c r="CW35" s="17" t="str">
        <f t="shared" si="53"/>
        <v/>
      </c>
      <c r="CX35" s="17" t="str">
        <f t="shared" si="53"/>
        <v/>
      </c>
      <c r="CY35" s="17" t="str">
        <f t="shared" si="53"/>
        <v/>
      </c>
      <c r="CZ35" s="17" t="str">
        <f t="shared" si="53"/>
        <v/>
      </c>
      <c r="DA35" s="17" t="str">
        <f t="shared" si="53"/>
        <v/>
      </c>
      <c r="DB35" s="17" t="str">
        <f t="shared" si="53"/>
        <v/>
      </c>
      <c r="DC35" s="17" t="str">
        <f t="shared" si="53"/>
        <v/>
      </c>
      <c r="DD35" s="17" t="str">
        <f t="shared" si="53"/>
        <v/>
      </c>
      <c r="DE35" s="17" t="str">
        <f t="shared" si="53"/>
        <v/>
      </c>
      <c r="DF35" s="17" t="str">
        <f t="shared" si="53"/>
        <v/>
      </c>
      <c r="DG35" s="17" t="str">
        <f t="shared" si="54"/>
        <v/>
      </c>
      <c r="DH35" s="17" t="str">
        <f t="shared" si="54"/>
        <v/>
      </c>
      <c r="DI35" s="17" t="str">
        <f t="shared" si="54"/>
        <v/>
      </c>
      <c r="DJ35" s="17" t="str">
        <f t="shared" si="54"/>
        <v/>
      </c>
      <c r="DK35" s="17" t="str">
        <f t="shared" si="54"/>
        <v/>
      </c>
      <c r="DL35" s="17" t="str">
        <f t="shared" si="54"/>
        <v/>
      </c>
      <c r="DM35" s="17" t="str">
        <f t="shared" si="54"/>
        <v/>
      </c>
      <c r="DN35" s="17" t="str">
        <f t="shared" si="54"/>
        <v/>
      </c>
      <c r="DO35" s="17" t="str">
        <f t="shared" si="54"/>
        <v/>
      </c>
      <c r="DP35" s="17" t="str">
        <f t="shared" si="54"/>
        <v/>
      </c>
      <c r="DQ35" s="17" t="str">
        <f t="shared" si="55"/>
        <v/>
      </c>
      <c r="DR35" s="17" t="str">
        <f t="shared" si="55"/>
        <v/>
      </c>
      <c r="DS35" s="17" t="str">
        <f t="shared" si="55"/>
        <v/>
      </c>
      <c r="DT35" s="17" t="str">
        <f t="shared" si="55"/>
        <v/>
      </c>
      <c r="DU35" s="17" t="str">
        <f t="shared" si="55"/>
        <v/>
      </c>
      <c r="DV35" s="17" t="str">
        <f t="shared" si="55"/>
        <v/>
      </c>
      <c r="DW35" s="17" t="str">
        <f t="shared" si="55"/>
        <v/>
      </c>
      <c r="DX35" s="17" t="str">
        <f t="shared" si="55"/>
        <v/>
      </c>
      <c r="DY35" s="17" t="str">
        <f t="shared" si="55"/>
        <v>R</v>
      </c>
      <c r="DZ35" s="17" t="str">
        <f t="shared" si="55"/>
        <v>R</v>
      </c>
      <c r="EA35" s="17" t="str">
        <f t="shared" si="56"/>
        <v>R</v>
      </c>
      <c r="EB35" s="17" t="str">
        <f t="shared" si="56"/>
        <v>R</v>
      </c>
      <c r="EC35" s="17" t="str">
        <f t="shared" si="56"/>
        <v>R</v>
      </c>
      <c r="ED35" s="17" t="str">
        <f t="shared" si="56"/>
        <v>R</v>
      </c>
      <c r="EE35" s="17" t="str">
        <f t="shared" si="56"/>
        <v>R</v>
      </c>
      <c r="EF35" s="17" t="str">
        <f t="shared" si="56"/>
        <v>R</v>
      </c>
      <c r="EG35" s="17" t="str">
        <f t="shared" si="56"/>
        <v>R</v>
      </c>
      <c r="EH35" s="17" t="str">
        <f t="shared" si="56"/>
        <v>R</v>
      </c>
      <c r="EI35" s="17" t="str">
        <f t="shared" si="56"/>
        <v>R</v>
      </c>
      <c r="EJ35" s="17" t="str">
        <f t="shared" si="56"/>
        <v>R</v>
      </c>
      <c r="EK35" s="17" t="str">
        <f t="shared" si="57"/>
        <v>R</v>
      </c>
      <c r="EL35" s="17" t="str">
        <f t="shared" si="57"/>
        <v>R</v>
      </c>
      <c r="EM35" s="17" t="str">
        <f t="shared" si="57"/>
        <v>R</v>
      </c>
      <c r="EN35" s="17" t="str">
        <f t="shared" si="57"/>
        <v>R</v>
      </c>
      <c r="EO35" s="17" t="str">
        <f t="shared" si="57"/>
        <v>P</v>
      </c>
      <c r="EP35" s="17" t="str">
        <f t="shared" si="57"/>
        <v>P</v>
      </c>
      <c r="EQ35" s="17" t="str">
        <f t="shared" si="57"/>
        <v>T</v>
      </c>
      <c r="ER35" s="17" t="str">
        <f t="shared" si="57"/>
        <v>T</v>
      </c>
      <c r="ES35" s="17" t="str">
        <f t="shared" si="57"/>
        <v>T</v>
      </c>
      <c r="ET35" s="17" t="str">
        <f t="shared" si="57"/>
        <v>T</v>
      </c>
      <c r="EU35" s="17" t="str">
        <f t="shared" si="58"/>
        <v/>
      </c>
      <c r="EV35" s="17" t="str">
        <f t="shared" si="58"/>
        <v/>
      </c>
      <c r="EW35" s="17" t="str">
        <f t="shared" si="58"/>
        <v/>
      </c>
      <c r="EX35" s="17" t="str">
        <f t="shared" si="58"/>
        <v/>
      </c>
      <c r="EY35" s="17" t="str">
        <f t="shared" si="58"/>
        <v/>
      </c>
      <c r="EZ35" s="17" t="str">
        <f t="shared" si="58"/>
        <v/>
      </c>
      <c r="FA35" s="17" t="str">
        <f t="shared" si="58"/>
        <v/>
      </c>
      <c r="FB35" s="17" t="str">
        <f t="shared" si="58"/>
        <v/>
      </c>
      <c r="FC35" s="17" t="str">
        <f t="shared" si="58"/>
        <v/>
      </c>
      <c r="FD35" s="17" t="str">
        <f t="shared" si="58"/>
        <v/>
      </c>
      <c r="FE35" s="17" t="str">
        <f t="shared" si="59"/>
        <v/>
      </c>
      <c r="FF35" s="17" t="str">
        <f t="shared" si="59"/>
        <v/>
      </c>
      <c r="FG35" s="17" t="str">
        <f t="shared" si="59"/>
        <v/>
      </c>
      <c r="FH35" s="17" t="str">
        <f t="shared" si="59"/>
        <v/>
      </c>
      <c r="FI35" s="17" t="str">
        <f t="shared" si="59"/>
        <v/>
      </c>
      <c r="FJ35" s="17" t="str">
        <f t="shared" si="59"/>
        <v/>
      </c>
      <c r="FK35" s="17" t="str">
        <f t="shared" si="59"/>
        <v/>
      </c>
      <c r="FL35" s="17" t="str">
        <f t="shared" si="59"/>
        <v/>
      </c>
      <c r="FM35" s="17" t="str">
        <f t="shared" si="59"/>
        <v/>
      </c>
      <c r="FN35" s="17" t="str">
        <f t="shared" si="59"/>
        <v/>
      </c>
      <c r="FO35" s="17" t="str">
        <f t="shared" si="60"/>
        <v/>
      </c>
      <c r="FP35" s="17" t="str">
        <f t="shared" si="60"/>
        <v/>
      </c>
      <c r="FQ35" s="17" t="str">
        <f t="shared" si="60"/>
        <v/>
      </c>
      <c r="FR35" s="17" t="str">
        <f t="shared" si="60"/>
        <v/>
      </c>
      <c r="FS35" s="17" t="str">
        <f t="shared" si="60"/>
        <v/>
      </c>
      <c r="FT35" s="17" t="str">
        <f t="shared" si="60"/>
        <v/>
      </c>
      <c r="FU35" s="17" t="str">
        <f t="shared" si="60"/>
        <v/>
      </c>
      <c r="FV35" s="17" t="str">
        <f t="shared" si="60"/>
        <v/>
      </c>
      <c r="FW35" s="17" t="str">
        <f t="shared" si="60"/>
        <v/>
      </c>
      <c r="FX35" s="17" t="str">
        <f t="shared" si="60"/>
        <v/>
      </c>
      <c r="FY35" s="17" t="str">
        <f t="shared" si="61"/>
        <v/>
      </c>
      <c r="FZ35" s="17" t="str">
        <f t="shared" si="61"/>
        <v/>
      </c>
      <c r="GA35" s="17" t="str">
        <f t="shared" si="61"/>
        <v/>
      </c>
      <c r="GB35" s="17" t="str">
        <f t="shared" si="61"/>
        <v/>
      </c>
      <c r="GC35" s="17" t="str">
        <f t="shared" si="61"/>
        <v/>
      </c>
      <c r="GD35" s="17" t="str">
        <f t="shared" si="61"/>
        <v/>
      </c>
      <c r="GE35" s="17" t="str">
        <f t="shared" si="61"/>
        <v/>
      </c>
      <c r="GF35" s="17" t="str">
        <f t="shared" si="61"/>
        <v/>
      </c>
      <c r="GG35" s="17" t="str">
        <f t="shared" si="61"/>
        <v/>
      </c>
      <c r="GH35" s="17" t="str">
        <f t="shared" si="61"/>
        <v/>
      </c>
      <c r="GI35" s="17" t="str">
        <f t="shared" si="62"/>
        <v/>
      </c>
      <c r="GJ35" s="17" t="str">
        <f t="shared" si="62"/>
        <v/>
      </c>
      <c r="GK35" s="17" t="str">
        <f t="shared" si="62"/>
        <v/>
      </c>
      <c r="GL35" s="17" t="str">
        <f t="shared" si="62"/>
        <v/>
      </c>
      <c r="GM35" s="17" t="str">
        <f t="shared" si="62"/>
        <v/>
      </c>
      <c r="GN35" s="17" t="str">
        <f t="shared" si="62"/>
        <v/>
      </c>
      <c r="GO35" s="17" t="str">
        <f t="shared" si="62"/>
        <v/>
      </c>
      <c r="GP35" s="17" t="str">
        <f t="shared" si="62"/>
        <v/>
      </c>
      <c r="GQ35" s="17" t="str">
        <f t="shared" si="62"/>
        <v/>
      </c>
      <c r="GR35" s="17" t="str">
        <f t="shared" si="62"/>
        <v/>
      </c>
      <c r="GS35" s="17" t="str">
        <f t="shared" si="63"/>
        <v/>
      </c>
      <c r="GT35" s="17" t="str">
        <f t="shared" si="63"/>
        <v/>
      </c>
      <c r="GU35" s="17" t="str">
        <f t="shared" si="63"/>
        <v/>
      </c>
      <c r="GV35" s="17" t="str">
        <f t="shared" si="63"/>
        <v/>
      </c>
      <c r="GW35" s="17" t="str">
        <f t="shared" si="63"/>
        <v/>
      </c>
      <c r="GX35" s="17" t="str">
        <f t="shared" si="63"/>
        <v/>
      </c>
      <c r="GY35" s="17" t="str">
        <f t="shared" si="63"/>
        <v/>
      </c>
      <c r="GZ35" s="17" t="str">
        <f t="shared" si="63"/>
        <v/>
      </c>
      <c r="HA35" s="17" t="str">
        <f t="shared" si="63"/>
        <v/>
      </c>
      <c r="HB35" s="17" t="str">
        <f t="shared" si="63"/>
        <v/>
      </c>
      <c r="HC35" s="17" t="str">
        <f t="shared" si="64"/>
        <v/>
      </c>
      <c r="HD35" s="17" t="str">
        <f t="shared" si="64"/>
        <v/>
      </c>
      <c r="HE35" s="17" t="str">
        <f t="shared" si="64"/>
        <v/>
      </c>
      <c r="HF35" s="17" t="str">
        <f t="shared" si="64"/>
        <v/>
      </c>
      <c r="HG35" s="17" t="str">
        <f t="shared" si="64"/>
        <v/>
      </c>
      <c r="HH35" s="17" t="str">
        <f t="shared" si="64"/>
        <v/>
      </c>
      <c r="HI35" s="17" t="str">
        <f t="shared" si="64"/>
        <v/>
      </c>
      <c r="HJ35" s="17" t="str">
        <f t="shared" si="64"/>
        <v/>
      </c>
      <c r="HK35" s="17" t="str">
        <f t="shared" si="64"/>
        <v/>
      </c>
      <c r="HL35" s="17" t="str">
        <f t="shared" si="64"/>
        <v/>
      </c>
      <c r="HM35" s="17" t="str">
        <f t="shared" si="65"/>
        <v/>
      </c>
      <c r="HN35" s="17" t="str">
        <f t="shared" si="65"/>
        <v/>
      </c>
      <c r="HO35" s="17" t="str">
        <f t="shared" si="65"/>
        <v/>
      </c>
      <c r="HP35" s="17" t="str">
        <f t="shared" si="65"/>
        <v/>
      </c>
      <c r="HQ35" s="17" t="str">
        <f t="shared" si="65"/>
        <v/>
      </c>
      <c r="HR35" s="17" t="str">
        <f t="shared" si="65"/>
        <v/>
      </c>
      <c r="HS35" s="17" t="str">
        <f t="shared" si="65"/>
        <v/>
      </c>
      <c r="HT35" s="17" t="str">
        <f t="shared" si="65"/>
        <v/>
      </c>
      <c r="HU35" s="17" t="str">
        <f t="shared" si="65"/>
        <v/>
      </c>
      <c r="HV35" s="17" t="str">
        <f t="shared" si="65"/>
        <v/>
      </c>
      <c r="HW35" s="17" t="str">
        <f t="shared" si="65"/>
        <v/>
      </c>
      <c r="HX35" s="17" t="str">
        <f t="shared" si="65"/>
        <v/>
      </c>
      <c r="HY35" s="17" t="str">
        <f t="shared" si="65"/>
        <v/>
      </c>
      <c r="HZ35" s="17" t="str">
        <f t="shared" si="65"/>
        <v/>
      </c>
      <c r="IA35" s="17" t="str">
        <f t="shared" si="65"/>
        <v/>
      </c>
    </row>
    <row r="36" spans="1:235" ht="25.95" customHeight="1" x14ac:dyDescent="0.3">
      <c r="A36" s="7">
        <v>31</v>
      </c>
      <c r="B36" s="7">
        <f>Premissas!$B$6</f>
        <v>6</v>
      </c>
      <c r="C36" s="7">
        <f>30*Premissas!$B$8</f>
        <v>363.63636363636368</v>
      </c>
      <c r="D36" s="7">
        <f>C36+Premissas!$B$9</f>
        <v>411.63636363636368</v>
      </c>
      <c r="E36" s="7">
        <f>C36+Premissas!$B$11</f>
        <v>417.63636363636368</v>
      </c>
      <c r="F36" s="7">
        <f>E36+Premissas!$B$8</f>
        <v>429.75757575757581</v>
      </c>
      <c r="G36" s="7">
        <f>Premissas!$B$11</f>
        <v>54</v>
      </c>
      <c r="H36" s="7">
        <f>Premissas!$B$12</f>
        <v>3</v>
      </c>
      <c r="I36" s="7" t="s">
        <v>47</v>
      </c>
      <c r="J36" s="8" t="s">
        <v>48</v>
      </c>
      <c r="K36" s="17" t="str">
        <f t="shared" ref="K36:T45" si="66">IF(AND(K$4&gt;=$C36,K$4&lt;$D36),"R",IF(AND(K$4&gt;=$D36,K$4&lt;$E36),"P",IF(AND(K$4&gt;=$E36,K$4&lt;$F36),"T","")))</f>
        <v/>
      </c>
      <c r="L36" s="17" t="str">
        <f t="shared" si="66"/>
        <v/>
      </c>
      <c r="M36" s="17" t="str">
        <f t="shared" si="66"/>
        <v/>
      </c>
      <c r="N36" s="17" t="str">
        <f t="shared" si="66"/>
        <v/>
      </c>
      <c r="O36" s="17" t="str">
        <f t="shared" si="66"/>
        <v/>
      </c>
      <c r="P36" s="17" t="str">
        <f t="shared" si="66"/>
        <v/>
      </c>
      <c r="Q36" s="17" t="str">
        <f t="shared" si="66"/>
        <v/>
      </c>
      <c r="R36" s="17" t="str">
        <f t="shared" si="66"/>
        <v/>
      </c>
      <c r="S36" s="17" t="str">
        <f t="shared" si="66"/>
        <v/>
      </c>
      <c r="T36" s="17" t="str">
        <f t="shared" si="66"/>
        <v/>
      </c>
      <c r="U36" s="17" t="str">
        <f t="shared" ref="U36:AD45" si="67">IF(AND(U$4&gt;=$C36,U$4&lt;$D36),"R",IF(AND(U$4&gt;=$D36,U$4&lt;$E36),"P",IF(AND(U$4&gt;=$E36,U$4&lt;$F36),"T","")))</f>
        <v/>
      </c>
      <c r="V36" s="17" t="str">
        <f t="shared" si="67"/>
        <v/>
      </c>
      <c r="W36" s="17" t="str">
        <f t="shared" si="67"/>
        <v/>
      </c>
      <c r="X36" s="17" t="str">
        <f t="shared" si="67"/>
        <v/>
      </c>
      <c r="Y36" s="17" t="str">
        <f t="shared" si="67"/>
        <v/>
      </c>
      <c r="Z36" s="17" t="str">
        <f t="shared" si="67"/>
        <v/>
      </c>
      <c r="AA36" s="17" t="str">
        <f t="shared" si="67"/>
        <v/>
      </c>
      <c r="AB36" s="17" t="str">
        <f t="shared" si="67"/>
        <v/>
      </c>
      <c r="AC36" s="17" t="str">
        <f t="shared" si="67"/>
        <v/>
      </c>
      <c r="AD36" s="17" t="str">
        <f t="shared" si="67"/>
        <v/>
      </c>
      <c r="AE36" s="17" t="str">
        <f t="shared" ref="AE36:AN45" si="68">IF(AND(AE$4&gt;=$C36,AE$4&lt;$D36),"R",IF(AND(AE$4&gt;=$D36,AE$4&lt;$E36),"P",IF(AND(AE$4&gt;=$E36,AE$4&lt;$F36),"T","")))</f>
        <v/>
      </c>
      <c r="AF36" s="17" t="str">
        <f t="shared" si="68"/>
        <v/>
      </c>
      <c r="AG36" s="17" t="str">
        <f t="shared" si="68"/>
        <v/>
      </c>
      <c r="AH36" s="17" t="str">
        <f t="shared" si="68"/>
        <v/>
      </c>
      <c r="AI36" s="17" t="str">
        <f t="shared" si="68"/>
        <v/>
      </c>
      <c r="AJ36" s="17" t="str">
        <f t="shared" si="68"/>
        <v/>
      </c>
      <c r="AK36" s="17" t="str">
        <f t="shared" si="68"/>
        <v/>
      </c>
      <c r="AL36" s="17" t="str">
        <f t="shared" si="68"/>
        <v/>
      </c>
      <c r="AM36" s="17" t="str">
        <f t="shared" si="68"/>
        <v/>
      </c>
      <c r="AN36" s="17" t="str">
        <f t="shared" si="68"/>
        <v/>
      </c>
      <c r="AO36" s="17" t="str">
        <f t="shared" ref="AO36:AX45" si="69">IF(AND(AO$4&gt;=$C36,AO$4&lt;$D36),"R",IF(AND(AO$4&gt;=$D36,AO$4&lt;$E36),"P",IF(AND(AO$4&gt;=$E36,AO$4&lt;$F36),"T","")))</f>
        <v/>
      </c>
      <c r="AP36" s="17" t="str">
        <f t="shared" si="69"/>
        <v/>
      </c>
      <c r="AQ36" s="17" t="str">
        <f t="shared" si="69"/>
        <v/>
      </c>
      <c r="AR36" s="17" t="str">
        <f t="shared" si="69"/>
        <v/>
      </c>
      <c r="AS36" s="17" t="str">
        <f t="shared" si="69"/>
        <v/>
      </c>
      <c r="AT36" s="17" t="str">
        <f t="shared" si="69"/>
        <v/>
      </c>
      <c r="AU36" s="17" t="str">
        <f t="shared" si="69"/>
        <v/>
      </c>
      <c r="AV36" s="17" t="str">
        <f t="shared" si="69"/>
        <v/>
      </c>
      <c r="AW36" s="17" t="str">
        <f t="shared" si="69"/>
        <v/>
      </c>
      <c r="AX36" s="17" t="str">
        <f t="shared" si="69"/>
        <v/>
      </c>
      <c r="AY36" s="17" t="str">
        <f t="shared" ref="AY36:BH45" si="70">IF(AND(AY$4&gt;=$C36,AY$4&lt;$D36),"R",IF(AND(AY$4&gt;=$D36,AY$4&lt;$E36),"P",IF(AND(AY$4&gt;=$E36,AY$4&lt;$F36),"T","")))</f>
        <v/>
      </c>
      <c r="AZ36" s="17" t="str">
        <f t="shared" si="70"/>
        <v/>
      </c>
      <c r="BA36" s="17" t="str">
        <f t="shared" si="70"/>
        <v/>
      </c>
      <c r="BB36" s="17" t="str">
        <f t="shared" si="70"/>
        <v/>
      </c>
      <c r="BC36" s="17" t="str">
        <f t="shared" si="70"/>
        <v/>
      </c>
      <c r="BD36" s="17" t="str">
        <f t="shared" si="70"/>
        <v/>
      </c>
      <c r="BE36" s="17" t="str">
        <f t="shared" si="70"/>
        <v/>
      </c>
      <c r="BF36" s="17" t="str">
        <f t="shared" si="70"/>
        <v/>
      </c>
      <c r="BG36" s="17" t="str">
        <f t="shared" si="70"/>
        <v/>
      </c>
      <c r="BH36" s="17" t="str">
        <f t="shared" si="70"/>
        <v/>
      </c>
      <c r="BI36" s="17" t="str">
        <f t="shared" ref="BI36:BR45" si="71">IF(AND(BI$4&gt;=$C36,BI$4&lt;$D36),"R",IF(AND(BI$4&gt;=$D36,BI$4&lt;$E36),"P",IF(AND(BI$4&gt;=$E36,BI$4&lt;$F36),"T","")))</f>
        <v/>
      </c>
      <c r="BJ36" s="17" t="str">
        <f t="shared" si="71"/>
        <v/>
      </c>
      <c r="BK36" s="17" t="str">
        <f t="shared" si="71"/>
        <v/>
      </c>
      <c r="BL36" s="17" t="str">
        <f t="shared" si="71"/>
        <v/>
      </c>
      <c r="BM36" s="17" t="str">
        <f t="shared" si="71"/>
        <v/>
      </c>
      <c r="BN36" s="17" t="str">
        <f t="shared" si="71"/>
        <v/>
      </c>
      <c r="BO36" s="17" t="str">
        <f t="shared" si="71"/>
        <v/>
      </c>
      <c r="BP36" s="17" t="str">
        <f t="shared" si="71"/>
        <v/>
      </c>
      <c r="BQ36" s="17" t="str">
        <f t="shared" si="71"/>
        <v/>
      </c>
      <c r="BR36" s="17" t="str">
        <f t="shared" si="71"/>
        <v/>
      </c>
      <c r="BS36" s="17" t="str">
        <f t="shared" ref="BS36:CB45" si="72">IF(AND(BS$4&gt;=$C36,BS$4&lt;$D36),"R",IF(AND(BS$4&gt;=$D36,BS$4&lt;$E36),"P",IF(AND(BS$4&gt;=$E36,BS$4&lt;$F36),"T","")))</f>
        <v/>
      </c>
      <c r="BT36" s="17" t="str">
        <f t="shared" si="72"/>
        <v/>
      </c>
      <c r="BU36" s="17" t="str">
        <f t="shared" si="72"/>
        <v/>
      </c>
      <c r="BV36" s="17" t="str">
        <f t="shared" si="72"/>
        <v/>
      </c>
      <c r="BW36" s="17" t="str">
        <f t="shared" si="72"/>
        <v/>
      </c>
      <c r="BX36" s="17" t="str">
        <f t="shared" si="72"/>
        <v/>
      </c>
      <c r="BY36" s="17" t="str">
        <f t="shared" si="72"/>
        <v/>
      </c>
      <c r="BZ36" s="17" t="str">
        <f t="shared" si="72"/>
        <v/>
      </c>
      <c r="CA36" s="17" t="str">
        <f t="shared" si="72"/>
        <v/>
      </c>
      <c r="CB36" s="17" t="str">
        <f t="shared" si="72"/>
        <v/>
      </c>
      <c r="CC36" s="17" t="str">
        <f t="shared" ref="CC36:CL45" si="73">IF(AND(CC$4&gt;=$C36,CC$4&lt;$D36),"R",IF(AND(CC$4&gt;=$D36,CC$4&lt;$E36),"P",IF(AND(CC$4&gt;=$E36,CC$4&lt;$F36),"T","")))</f>
        <v/>
      </c>
      <c r="CD36" s="17" t="str">
        <f t="shared" si="73"/>
        <v/>
      </c>
      <c r="CE36" s="17" t="str">
        <f t="shared" si="73"/>
        <v/>
      </c>
      <c r="CF36" s="17" t="str">
        <f t="shared" si="73"/>
        <v/>
      </c>
      <c r="CG36" s="17" t="str">
        <f t="shared" si="73"/>
        <v/>
      </c>
      <c r="CH36" s="17" t="str">
        <f t="shared" si="73"/>
        <v/>
      </c>
      <c r="CI36" s="17" t="str">
        <f t="shared" si="73"/>
        <v/>
      </c>
      <c r="CJ36" s="17" t="str">
        <f t="shared" si="73"/>
        <v/>
      </c>
      <c r="CK36" s="17" t="str">
        <f t="shared" si="73"/>
        <v/>
      </c>
      <c r="CL36" s="17" t="str">
        <f t="shared" si="73"/>
        <v/>
      </c>
      <c r="CM36" s="17" t="str">
        <f t="shared" ref="CM36:CV45" si="74">IF(AND(CM$4&gt;=$C36,CM$4&lt;$D36),"R",IF(AND(CM$4&gt;=$D36,CM$4&lt;$E36),"P",IF(AND(CM$4&gt;=$E36,CM$4&lt;$F36),"T","")))</f>
        <v/>
      </c>
      <c r="CN36" s="17" t="str">
        <f t="shared" si="74"/>
        <v/>
      </c>
      <c r="CO36" s="17" t="str">
        <f t="shared" si="74"/>
        <v/>
      </c>
      <c r="CP36" s="17" t="str">
        <f t="shared" si="74"/>
        <v/>
      </c>
      <c r="CQ36" s="17" t="str">
        <f t="shared" si="74"/>
        <v/>
      </c>
      <c r="CR36" s="17" t="str">
        <f t="shared" si="74"/>
        <v/>
      </c>
      <c r="CS36" s="17" t="str">
        <f t="shared" si="74"/>
        <v/>
      </c>
      <c r="CT36" s="17" t="str">
        <f t="shared" si="74"/>
        <v/>
      </c>
      <c r="CU36" s="17" t="str">
        <f t="shared" si="74"/>
        <v/>
      </c>
      <c r="CV36" s="17" t="str">
        <f t="shared" si="74"/>
        <v/>
      </c>
      <c r="CW36" s="17" t="str">
        <f t="shared" ref="CW36:DF45" si="75">IF(AND(CW$4&gt;=$C36,CW$4&lt;$D36),"R",IF(AND(CW$4&gt;=$D36,CW$4&lt;$E36),"P",IF(AND(CW$4&gt;=$E36,CW$4&lt;$F36),"T","")))</f>
        <v/>
      </c>
      <c r="CX36" s="17" t="str">
        <f t="shared" si="75"/>
        <v/>
      </c>
      <c r="CY36" s="17" t="str">
        <f t="shared" si="75"/>
        <v/>
      </c>
      <c r="CZ36" s="17" t="str">
        <f t="shared" si="75"/>
        <v/>
      </c>
      <c r="DA36" s="17" t="str">
        <f t="shared" si="75"/>
        <v/>
      </c>
      <c r="DB36" s="17" t="str">
        <f t="shared" si="75"/>
        <v/>
      </c>
      <c r="DC36" s="17" t="str">
        <f t="shared" si="75"/>
        <v/>
      </c>
      <c r="DD36" s="17" t="str">
        <f t="shared" si="75"/>
        <v/>
      </c>
      <c r="DE36" s="17" t="str">
        <f t="shared" si="75"/>
        <v/>
      </c>
      <c r="DF36" s="17" t="str">
        <f t="shared" si="75"/>
        <v/>
      </c>
      <c r="DG36" s="17" t="str">
        <f t="shared" ref="DG36:DP45" si="76">IF(AND(DG$4&gt;=$C36,DG$4&lt;$D36),"R",IF(AND(DG$4&gt;=$D36,DG$4&lt;$E36),"P",IF(AND(DG$4&gt;=$E36,DG$4&lt;$F36),"T","")))</f>
        <v/>
      </c>
      <c r="DH36" s="17" t="str">
        <f t="shared" si="76"/>
        <v/>
      </c>
      <c r="DI36" s="17" t="str">
        <f t="shared" si="76"/>
        <v/>
      </c>
      <c r="DJ36" s="17" t="str">
        <f t="shared" si="76"/>
        <v/>
      </c>
      <c r="DK36" s="17" t="str">
        <f t="shared" si="76"/>
        <v/>
      </c>
      <c r="DL36" s="17" t="str">
        <f t="shared" si="76"/>
        <v/>
      </c>
      <c r="DM36" s="17" t="str">
        <f t="shared" si="76"/>
        <v/>
      </c>
      <c r="DN36" s="17" t="str">
        <f t="shared" si="76"/>
        <v/>
      </c>
      <c r="DO36" s="17" t="str">
        <f t="shared" si="76"/>
        <v/>
      </c>
      <c r="DP36" s="17" t="str">
        <f t="shared" si="76"/>
        <v/>
      </c>
      <c r="DQ36" s="17" t="str">
        <f t="shared" ref="DQ36:DZ45" si="77">IF(AND(DQ$4&gt;=$C36,DQ$4&lt;$D36),"R",IF(AND(DQ$4&gt;=$D36,DQ$4&lt;$E36),"P",IF(AND(DQ$4&gt;=$E36,DQ$4&lt;$F36),"T","")))</f>
        <v/>
      </c>
      <c r="DR36" s="17" t="str">
        <f t="shared" si="77"/>
        <v/>
      </c>
      <c r="DS36" s="17" t="str">
        <f t="shared" si="77"/>
        <v/>
      </c>
      <c r="DT36" s="17" t="str">
        <f t="shared" si="77"/>
        <v/>
      </c>
      <c r="DU36" s="17" t="str">
        <f t="shared" si="77"/>
        <v/>
      </c>
      <c r="DV36" s="17" t="str">
        <f t="shared" si="77"/>
        <v/>
      </c>
      <c r="DW36" s="17" t="str">
        <f t="shared" si="77"/>
        <v/>
      </c>
      <c r="DX36" s="17" t="str">
        <f t="shared" si="77"/>
        <v/>
      </c>
      <c r="DY36" s="17" t="str">
        <f t="shared" si="77"/>
        <v/>
      </c>
      <c r="DZ36" s="17" t="str">
        <f t="shared" si="77"/>
        <v/>
      </c>
      <c r="EA36" s="17" t="str">
        <f t="shared" ref="EA36:EJ45" si="78">IF(AND(EA$4&gt;=$C36,EA$4&lt;$D36),"R",IF(AND(EA$4&gt;=$D36,EA$4&lt;$E36),"P",IF(AND(EA$4&gt;=$E36,EA$4&lt;$F36),"T","")))</f>
        <v/>
      </c>
      <c r="EB36" s="17" t="str">
        <f t="shared" si="78"/>
        <v/>
      </c>
      <c r="EC36" s="17" t="str">
        <f t="shared" si="78"/>
        <v>R</v>
      </c>
      <c r="ED36" s="17" t="str">
        <f t="shared" si="78"/>
        <v>R</v>
      </c>
      <c r="EE36" s="17" t="str">
        <f t="shared" si="78"/>
        <v>R</v>
      </c>
      <c r="EF36" s="17" t="str">
        <f t="shared" si="78"/>
        <v>R</v>
      </c>
      <c r="EG36" s="17" t="str">
        <f t="shared" si="78"/>
        <v>R</v>
      </c>
      <c r="EH36" s="17" t="str">
        <f t="shared" si="78"/>
        <v>R</v>
      </c>
      <c r="EI36" s="17" t="str">
        <f t="shared" si="78"/>
        <v>R</v>
      </c>
      <c r="EJ36" s="17" t="str">
        <f t="shared" si="78"/>
        <v>R</v>
      </c>
      <c r="EK36" s="17" t="str">
        <f t="shared" ref="EK36:ET45" si="79">IF(AND(EK$4&gt;=$C36,EK$4&lt;$D36),"R",IF(AND(EK$4&gt;=$D36,EK$4&lt;$E36),"P",IF(AND(EK$4&gt;=$E36,EK$4&lt;$F36),"T","")))</f>
        <v>R</v>
      </c>
      <c r="EL36" s="17" t="str">
        <f t="shared" si="79"/>
        <v>R</v>
      </c>
      <c r="EM36" s="17" t="str">
        <f t="shared" si="79"/>
        <v>R</v>
      </c>
      <c r="EN36" s="17" t="str">
        <f t="shared" si="79"/>
        <v>R</v>
      </c>
      <c r="EO36" s="17" t="str">
        <f t="shared" si="79"/>
        <v>R</v>
      </c>
      <c r="EP36" s="17" t="str">
        <f t="shared" si="79"/>
        <v>R</v>
      </c>
      <c r="EQ36" s="17" t="str">
        <f t="shared" si="79"/>
        <v>R</v>
      </c>
      <c r="ER36" s="17" t="str">
        <f t="shared" si="79"/>
        <v>R</v>
      </c>
      <c r="ES36" s="17" t="str">
        <f t="shared" si="79"/>
        <v>P</v>
      </c>
      <c r="ET36" s="17" t="str">
        <f t="shared" si="79"/>
        <v>P</v>
      </c>
      <c r="EU36" s="17" t="str">
        <f t="shared" ref="EU36:FD45" si="80">IF(AND(EU$4&gt;=$C36,EU$4&lt;$D36),"R",IF(AND(EU$4&gt;=$D36,EU$4&lt;$E36),"P",IF(AND(EU$4&gt;=$E36,EU$4&lt;$F36),"T","")))</f>
        <v>T</v>
      </c>
      <c r="EV36" s="17" t="str">
        <f t="shared" si="80"/>
        <v>T</v>
      </c>
      <c r="EW36" s="17" t="str">
        <f t="shared" si="80"/>
        <v>T</v>
      </c>
      <c r="EX36" s="17" t="str">
        <f t="shared" si="80"/>
        <v>T</v>
      </c>
      <c r="EY36" s="17" t="str">
        <f t="shared" si="80"/>
        <v/>
      </c>
      <c r="EZ36" s="17" t="str">
        <f t="shared" si="80"/>
        <v/>
      </c>
      <c r="FA36" s="17" t="str">
        <f t="shared" si="80"/>
        <v/>
      </c>
      <c r="FB36" s="17" t="str">
        <f t="shared" si="80"/>
        <v/>
      </c>
      <c r="FC36" s="17" t="str">
        <f t="shared" si="80"/>
        <v/>
      </c>
      <c r="FD36" s="17" t="str">
        <f t="shared" si="80"/>
        <v/>
      </c>
      <c r="FE36" s="17" t="str">
        <f t="shared" ref="FE36:FN45" si="81">IF(AND(FE$4&gt;=$C36,FE$4&lt;$D36),"R",IF(AND(FE$4&gt;=$D36,FE$4&lt;$E36),"P",IF(AND(FE$4&gt;=$E36,FE$4&lt;$F36),"T","")))</f>
        <v/>
      </c>
      <c r="FF36" s="17" t="str">
        <f t="shared" si="81"/>
        <v/>
      </c>
      <c r="FG36" s="17" t="str">
        <f t="shared" si="81"/>
        <v/>
      </c>
      <c r="FH36" s="17" t="str">
        <f t="shared" si="81"/>
        <v/>
      </c>
      <c r="FI36" s="17" t="str">
        <f t="shared" si="81"/>
        <v/>
      </c>
      <c r="FJ36" s="17" t="str">
        <f t="shared" si="81"/>
        <v/>
      </c>
      <c r="FK36" s="17" t="str">
        <f t="shared" si="81"/>
        <v/>
      </c>
      <c r="FL36" s="17" t="str">
        <f t="shared" si="81"/>
        <v/>
      </c>
      <c r="FM36" s="17" t="str">
        <f t="shared" si="81"/>
        <v/>
      </c>
      <c r="FN36" s="17" t="str">
        <f t="shared" si="81"/>
        <v/>
      </c>
      <c r="FO36" s="17" t="str">
        <f t="shared" ref="FO36:FX45" si="82">IF(AND(FO$4&gt;=$C36,FO$4&lt;$D36),"R",IF(AND(FO$4&gt;=$D36,FO$4&lt;$E36),"P",IF(AND(FO$4&gt;=$E36,FO$4&lt;$F36),"T","")))</f>
        <v/>
      </c>
      <c r="FP36" s="17" t="str">
        <f t="shared" si="82"/>
        <v/>
      </c>
      <c r="FQ36" s="17" t="str">
        <f t="shared" si="82"/>
        <v/>
      </c>
      <c r="FR36" s="17" t="str">
        <f t="shared" si="82"/>
        <v/>
      </c>
      <c r="FS36" s="17" t="str">
        <f t="shared" si="82"/>
        <v/>
      </c>
      <c r="FT36" s="17" t="str">
        <f t="shared" si="82"/>
        <v/>
      </c>
      <c r="FU36" s="17" t="str">
        <f t="shared" si="82"/>
        <v/>
      </c>
      <c r="FV36" s="17" t="str">
        <f t="shared" si="82"/>
        <v/>
      </c>
      <c r="FW36" s="17" t="str">
        <f t="shared" si="82"/>
        <v/>
      </c>
      <c r="FX36" s="17" t="str">
        <f t="shared" si="82"/>
        <v/>
      </c>
      <c r="FY36" s="17" t="str">
        <f t="shared" ref="FY36:GH45" si="83">IF(AND(FY$4&gt;=$C36,FY$4&lt;$D36),"R",IF(AND(FY$4&gt;=$D36,FY$4&lt;$E36),"P",IF(AND(FY$4&gt;=$E36,FY$4&lt;$F36),"T","")))</f>
        <v/>
      </c>
      <c r="FZ36" s="17" t="str">
        <f t="shared" si="83"/>
        <v/>
      </c>
      <c r="GA36" s="17" t="str">
        <f t="shared" si="83"/>
        <v/>
      </c>
      <c r="GB36" s="17" t="str">
        <f t="shared" si="83"/>
        <v/>
      </c>
      <c r="GC36" s="17" t="str">
        <f t="shared" si="83"/>
        <v/>
      </c>
      <c r="GD36" s="17" t="str">
        <f t="shared" si="83"/>
        <v/>
      </c>
      <c r="GE36" s="17" t="str">
        <f t="shared" si="83"/>
        <v/>
      </c>
      <c r="GF36" s="17" t="str">
        <f t="shared" si="83"/>
        <v/>
      </c>
      <c r="GG36" s="17" t="str">
        <f t="shared" si="83"/>
        <v/>
      </c>
      <c r="GH36" s="17" t="str">
        <f t="shared" si="83"/>
        <v/>
      </c>
      <c r="GI36" s="17" t="str">
        <f t="shared" ref="GI36:GR45" si="84">IF(AND(GI$4&gt;=$C36,GI$4&lt;$D36),"R",IF(AND(GI$4&gt;=$D36,GI$4&lt;$E36),"P",IF(AND(GI$4&gt;=$E36,GI$4&lt;$F36),"T","")))</f>
        <v/>
      </c>
      <c r="GJ36" s="17" t="str">
        <f t="shared" si="84"/>
        <v/>
      </c>
      <c r="GK36" s="17" t="str">
        <f t="shared" si="84"/>
        <v/>
      </c>
      <c r="GL36" s="17" t="str">
        <f t="shared" si="84"/>
        <v/>
      </c>
      <c r="GM36" s="17" t="str">
        <f t="shared" si="84"/>
        <v/>
      </c>
      <c r="GN36" s="17" t="str">
        <f t="shared" si="84"/>
        <v/>
      </c>
      <c r="GO36" s="17" t="str">
        <f t="shared" si="84"/>
        <v/>
      </c>
      <c r="GP36" s="17" t="str">
        <f t="shared" si="84"/>
        <v/>
      </c>
      <c r="GQ36" s="17" t="str">
        <f t="shared" si="84"/>
        <v/>
      </c>
      <c r="GR36" s="17" t="str">
        <f t="shared" si="84"/>
        <v/>
      </c>
      <c r="GS36" s="17" t="str">
        <f t="shared" ref="GS36:HB45" si="85">IF(AND(GS$4&gt;=$C36,GS$4&lt;$D36),"R",IF(AND(GS$4&gt;=$D36,GS$4&lt;$E36),"P",IF(AND(GS$4&gt;=$E36,GS$4&lt;$F36),"T","")))</f>
        <v/>
      </c>
      <c r="GT36" s="17" t="str">
        <f t="shared" si="85"/>
        <v/>
      </c>
      <c r="GU36" s="17" t="str">
        <f t="shared" si="85"/>
        <v/>
      </c>
      <c r="GV36" s="17" t="str">
        <f t="shared" si="85"/>
        <v/>
      </c>
      <c r="GW36" s="17" t="str">
        <f t="shared" si="85"/>
        <v/>
      </c>
      <c r="GX36" s="17" t="str">
        <f t="shared" si="85"/>
        <v/>
      </c>
      <c r="GY36" s="17" t="str">
        <f t="shared" si="85"/>
        <v/>
      </c>
      <c r="GZ36" s="17" t="str">
        <f t="shared" si="85"/>
        <v/>
      </c>
      <c r="HA36" s="17" t="str">
        <f t="shared" si="85"/>
        <v/>
      </c>
      <c r="HB36" s="17" t="str">
        <f t="shared" si="85"/>
        <v/>
      </c>
      <c r="HC36" s="17" t="str">
        <f t="shared" ref="HC36:HL45" si="86">IF(AND(HC$4&gt;=$C36,HC$4&lt;$D36),"R",IF(AND(HC$4&gt;=$D36,HC$4&lt;$E36),"P",IF(AND(HC$4&gt;=$E36,HC$4&lt;$F36),"T","")))</f>
        <v/>
      </c>
      <c r="HD36" s="17" t="str">
        <f t="shared" si="86"/>
        <v/>
      </c>
      <c r="HE36" s="17" t="str">
        <f t="shared" si="86"/>
        <v/>
      </c>
      <c r="HF36" s="17" t="str">
        <f t="shared" si="86"/>
        <v/>
      </c>
      <c r="HG36" s="17" t="str">
        <f t="shared" si="86"/>
        <v/>
      </c>
      <c r="HH36" s="17" t="str">
        <f t="shared" si="86"/>
        <v/>
      </c>
      <c r="HI36" s="17" t="str">
        <f t="shared" si="86"/>
        <v/>
      </c>
      <c r="HJ36" s="17" t="str">
        <f t="shared" si="86"/>
        <v/>
      </c>
      <c r="HK36" s="17" t="str">
        <f t="shared" si="86"/>
        <v/>
      </c>
      <c r="HL36" s="17" t="str">
        <f t="shared" si="86"/>
        <v/>
      </c>
      <c r="HM36" s="17" t="str">
        <f t="shared" ref="HM36:IA45" si="87">IF(AND(HM$4&gt;=$C36,HM$4&lt;$D36),"R",IF(AND(HM$4&gt;=$D36,HM$4&lt;$E36),"P",IF(AND(HM$4&gt;=$E36,HM$4&lt;$F36),"T","")))</f>
        <v/>
      </c>
      <c r="HN36" s="17" t="str">
        <f t="shared" si="87"/>
        <v/>
      </c>
      <c r="HO36" s="17" t="str">
        <f t="shared" si="87"/>
        <v/>
      </c>
      <c r="HP36" s="17" t="str">
        <f t="shared" si="87"/>
        <v/>
      </c>
      <c r="HQ36" s="17" t="str">
        <f t="shared" si="87"/>
        <v/>
      </c>
      <c r="HR36" s="17" t="str">
        <f t="shared" si="87"/>
        <v/>
      </c>
      <c r="HS36" s="17" t="str">
        <f t="shared" si="87"/>
        <v/>
      </c>
      <c r="HT36" s="17" t="str">
        <f t="shared" si="87"/>
        <v/>
      </c>
      <c r="HU36" s="17" t="str">
        <f t="shared" si="87"/>
        <v/>
      </c>
      <c r="HV36" s="17" t="str">
        <f t="shared" si="87"/>
        <v/>
      </c>
      <c r="HW36" s="17" t="str">
        <f t="shared" si="87"/>
        <v/>
      </c>
      <c r="HX36" s="17" t="str">
        <f t="shared" si="87"/>
        <v/>
      </c>
      <c r="HY36" s="17" t="str">
        <f t="shared" si="87"/>
        <v/>
      </c>
      <c r="HZ36" s="17" t="str">
        <f t="shared" si="87"/>
        <v/>
      </c>
      <c r="IA36" s="17" t="str">
        <f t="shared" si="87"/>
        <v/>
      </c>
    </row>
    <row r="37" spans="1:235" ht="25.95" customHeight="1" x14ac:dyDescent="0.3">
      <c r="A37" s="7">
        <v>32</v>
      </c>
      <c r="B37" s="7">
        <f>Premissas!$B$6</f>
        <v>6</v>
      </c>
      <c r="C37" s="7">
        <f>31*Premissas!$B$8</f>
        <v>375.75757575757581</v>
      </c>
      <c r="D37" s="7">
        <f>C37+Premissas!$B$9</f>
        <v>423.75757575757581</v>
      </c>
      <c r="E37" s="7">
        <f>C37+Premissas!$B$11</f>
        <v>429.75757575757581</v>
      </c>
      <c r="F37" s="7">
        <f>E37+Premissas!$B$8</f>
        <v>441.87878787878793</v>
      </c>
      <c r="G37" s="7">
        <f>Premissas!$B$11</f>
        <v>54</v>
      </c>
      <c r="H37" s="7">
        <f>Premissas!$B$12</f>
        <v>3</v>
      </c>
      <c r="I37" s="7" t="s">
        <v>47</v>
      </c>
      <c r="J37" s="8" t="s">
        <v>48</v>
      </c>
      <c r="K37" s="17" t="str">
        <f t="shared" si="66"/>
        <v/>
      </c>
      <c r="L37" s="17" t="str">
        <f t="shared" si="66"/>
        <v/>
      </c>
      <c r="M37" s="17" t="str">
        <f t="shared" si="66"/>
        <v/>
      </c>
      <c r="N37" s="17" t="str">
        <f t="shared" si="66"/>
        <v/>
      </c>
      <c r="O37" s="17" t="str">
        <f t="shared" si="66"/>
        <v/>
      </c>
      <c r="P37" s="17" t="str">
        <f t="shared" si="66"/>
        <v/>
      </c>
      <c r="Q37" s="17" t="str">
        <f t="shared" si="66"/>
        <v/>
      </c>
      <c r="R37" s="17" t="str">
        <f t="shared" si="66"/>
        <v/>
      </c>
      <c r="S37" s="17" t="str">
        <f t="shared" si="66"/>
        <v/>
      </c>
      <c r="T37" s="17" t="str">
        <f t="shared" si="66"/>
        <v/>
      </c>
      <c r="U37" s="17" t="str">
        <f t="shared" si="67"/>
        <v/>
      </c>
      <c r="V37" s="17" t="str">
        <f t="shared" si="67"/>
        <v/>
      </c>
      <c r="W37" s="17" t="str">
        <f t="shared" si="67"/>
        <v/>
      </c>
      <c r="X37" s="17" t="str">
        <f t="shared" si="67"/>
        <v/>
      </c>
      <c r="Y37" s="17" t="str">
        <f t="shared" si="67"/>
        <v/>
      </c>
      <c r="Z37" s="17" t="str">
        <f t="shared" si="67"/>
        <v/>
      </c>
      <c r="AA37" s="17" t="str">
        <f t="shared" si="67"/>
        <v/>
      </c>
      <c r="AB37" s="17" t="str">
        <f t="shared" si="67"/>
        <v/>
      </c>
      <c r="AC37" s="17" t="str">
        <f t="shared" si="67"/>
        <v/>
      </c>
      <c r="AD37" s="17" t="str">
        <f t="shared" si="67"/>
        <v/>
      </c>
      <c r="AE37" s="17" t="str">
        <f t="shared" si="68"/>
        <v/>
      </c>
      <c r="AF37" s="17" t="str">
        <f t="shared" si="68"/>
        <v/>
      </c>
      <c r="AG37" s="17" t="str">
        <f t="shared" si="68"/>
        <v/>
      </c>
      <c r="AH37" s="17" t="str">
        <f t="shared" si="68"/>
        <v/>
      </c>
      <c r="AI37" s="17" t="str">
        <f t="shared" si="68"/>
        <v/>
      </c>
      <c r="AJ37" s="17" t="str">
        <f t="shared" si="68"/>
        <v/>
      </c>
      <c r="AK37" s="17" t="str">
        <f t="shared" si="68"/>
        <v/>
      </c>
      <c r="AL37" s="17" t="str">
        <f t="shared" si="68"/>
        <v/>
      </c>
      <c r="AM37" s="17" t="str">
        <f t="shared" si="68"/>
        <v/>
      </c>
      <c r="AN37" s="17" t="str">
        <f t="shared" si="68"/>
        <v/>
      </c>
      <c r="AO37" s="17" t="str">
        <f t="shared" si="69"/>
        <v/>
      </c>
      <c r="AP37" s="17" t="str">
        <f t="shared" si="69"/>
        <v/>
      </c>
      <c r="AQ37" s="17" t="str">
        <f t="shared" si="69"/>
        <v/>
      </c>
      <c r="AR37" s="17" t="str">
        <f t="shared" si="69"/>
        <v/>
      </c>
      <c r="AS37" s="17" t="str">
        <f t="shared" si="69"/>
        <v/>
      </c>
      <c r="AT37" s="17" t="str">
        <f t="shared" si="69"/>
        <v/>
      </c>
      <c r="AU37" s="17" t="str">
        <f t="shared" si="69"/>
        <v/>
      </c>
      <c r="AV37" s="17" t="str">
        <f t="shared" si="69"/>
        <v/>
      </c>
      <c r="AW37" s="17" t="str">
        <f t="shared" si="69"/>
        <v/>
      </c>
      <c r="AX37" s="17" t="str">
        <f t="shared" si="69"/>
        <v/>
      </c>
      <c r="AY37" s="17" t="str">
        <f t="shared" si="70"/>
        <v/>
      </c>
      <c r="AZ37" s="17" t="str">
        <f t="shared" si="70"/>
        <v/>
      </c>
      <c r="BA37" s="17" t="str">
        <f t="shared" si="70"/>
        <v/>
      </c>
      <c r="BB37" s="17" t="str">
        <f t="shared" si="70"/>
        <v/>
      </c>
      <c r="BC37" s="17" t="str">
        <f t="shared" si="70"/>
        <v/>
      </c>
      <c r="BD37" s="17" t="str">
        <f t="shared" si="70"/>
        <v/>
      </c>
      <c r="BE37" s="17" t="str">
        <f t="shared" si="70"/>
        <v/>
      </c>
      <c r="BF37" s="17" t="str">
        <f t="shared" si="70"/>
        <v/>
      </c>
      <c r="BG37" s="17" t="str">
        <f t="shared" si="70"/>
        <v/>
      </c>
      <c r="BH37" s="17" t="str">
        <f t="shared" si="70"/>
        <v/>
      </c>
      <c r="BI37" s="17" t="str">
        <f t="shared" si="71"/>
        <v/>
      </c>
      <c r="BJ37" s="17" t="str">
        <f t="shared" si="71"/>
        <v/>
      </c>
      <c r="BK37" s="17" t="str">
        <f t="shared" si="71"/>
        <v/>
      </c>
      <c r="BL37" s="17" t="str">
        <f t="shared" si="71"/>
        <v/>
      </c>
      <c r="BM37" s="17" t="str">
        <f t="shared" si="71"/>
        <v/>
      </c>
      <c r="BN37" s="17" t="str">
        <f t="shared" si="71"/>
        <v/>
      </c>
      <c r="BO37" s="17" t="str">
        <f t="shared" si="71"/>
        <v/>
      </c>
      <c r="BP37" s="17" t="str">
        <f t="shared" si="71"/>
        <v/>
      </c>
      <c r="BQ37" s="17" t="str">
        <f t="shared" si="71"/>
        <v/>
      </c>
      <c r="BR37" s="17" t="str">
        <f t="shared" si="71"/>
        <v/>
      </c>
      <c r="BS37" s="17" t="str">
        <f t="shared" si="72"/>
        <v/>
      </c>
      <c r="BT37" s="17" t="str">
        <f t="shared" si="72"/>
        <v/>
      </c>
      <c r="BU37" s="17" t="str">
        <f t="shared" si="72"/>
        <v/>
      </c>
      <c r="BV37" s="17" t="str">
        <f t="shared" si="72"/>
        <v/>
      </c>
      <c r="BW37" s="17" t="str">
        <f t="shared" si="72"/>
        <v/>
      </c>
      <c r="BX37" s="17" t="str">
        <f t="shared" si="72"/>
        <v/>
      </c>
      <c r="BY37" s="17" t="str">
        <f t="shared" si="72"/>
        <v/>
      </c>
      <c r="BZ37" s="17" t="str">
        <f t="shared" si="72"/>
        <v/>
      </c>
      <c r="CA37" s="17" t="str">
        <f t="shared" si="72"/>
        <v/>
      </c>
      <c r="CB37" s="17" t="str">
        <f t="shared" si="72"/>
        <v/>
      </c>
      <c r="CC37" s="17" t="str">
        <f t="shared" si="73"/>
        <v/>
      </c>
      <c r="CD37" s="17" t="str">
        <f t="shared" si="73"/>
        <v/>
      </c>
      <c r="CE37" s="17" t="str">
        <f t="shared" si="73"/>
        <v/>
      </c>
      <c r="CF37" s="17" t="str">
        <f t="shared" si="73"/>
        <v/>
      </c>
      <c r="CG37" s="17" t="str">
        <f t="shared" si="73"/>
        <v/>
      </c>
      <c r="CH37" s="17" t="str">
        <f t="shared" si="73"/>
        <v/>
      </c>
      <c r="CI37" s="17" t="str">
        <f t="shared" si="73"/>
        <v/>
      </c>
      <c r="CJ37" s="17" t="str">
        <f t="shared" si="73"/>
        <v/>
      </c>
      <c r="CK37" s="17" t="str">
        <f t="shared" si="73"/>
        <v/>
      </c>
      <c r="CL37" s="17" t="str">
        <f t="shared" si="73"/>
        <v/>
      </c>
      <c r="CM37" s="17" t="str">
        <f t="shared" si="74"/>
        <v/>
      </c>
      <c r="CN37" s="17" t="str">
        <f t="shared" si="74"/>
        <v/>
      </c>
      <c r="CO37" s="17" t="str">
        <f t="shared" si="74"/>
        <v/>
      </c>
      <c r="CP37" s="17" t="str">
        <f t="shared" si="74"/>
        <v/>
      </c>
      <c r="CQ37" s="17" t="str">
        <f t="shared" si="74"/>
        <v/>
      </c>
      <c r="CR37" s="17" t="str">
        <f t="shared" si="74"/>
        <v/>
      </c>
      <c r="CS37" s="17" t="str">
        <f t="shared" si="74"/>
        <v/>
      </c>
      <c r="CT37" s="17" t="str">
        <f t="shared" si="74"/>
        <v/>
      </c>
      <c r="CU37" s="17" t="str">
        <f t="shared" si="74"/>
        <v/>
      </c>
      <c r="CV37" s="17" t="str">
        <f t="shared" si="74"/>
        <v/>
      </c>
      <c r="CW37" s="17" t="str">
        <f t="shared" si="75"/>
        <v/>
      </c>
      <c r="CX37" s="17" t="str">
        <f t="shared" si="75"/>
        <v/>
      </c>
      <c r="CY37" s="17" t="str">
        <f t="shared" si="75"/>
        <v/>
      </c>
      <c r="CZ37" s="17" t="str">
        <f t="shared" si="75"/>
        <v/>
      </c>
      <c r="DA37" s="17" t="str">
        <f t="shared" si="75"/>
        <v/>
      </c>
      <c r="DB37" s="17" t="str">
        <f t="shared" si="75"/>
        <v/>
      </c>
      <c r="DC37" s="17" t="str">
        <f t="shared" si="75"/>
        <v/>
      </c>
      <c r="DD37" s="17" t="str">
        <f t="shared" si="75"/>
        <v/>
      </c>
      <c r="DE37" s="17" t="str">
        <f t="shared" si="75"/>
        <v/>
      </c>
      <c r="DF37" s="17" t="str">
        <f t="shared" si="75"/>
        <v/>
      </c>
      <c r="DG37" s="17" t="str">
        <f t="shared" si="76"/>
        <v/>
      </c>
      <c r="DH37" s="17" t="str">
        <f t="shared" si="76"/>
        <v/>
      </c>
      <c r="DI37" s="17" t="str">
        <f t="shared" si="76"/>
        <v/>
      </c>
      <c r="DJ37" s="17" t="str">
        <f t="shared" si="76"/>
        <v/>
      </c>
      <c r="DK37" s="17" t="str">
        <f t="shared" si="76"/>
        <v/>
      </c>
      <c r="DL37" s="17" t="str">
        <f t="shared" si="76"/>
        <v/>
      </c>
      <c r="DM37" s="17" t="str">
        <f t="shared" si="76"/>
        <v/>
      </c>
      <c r="DN37" s="17" t="str">
        <f t="shared" si="76"/>
        <v/>
      </c>
      <c r="DO37" s="17" t="str">
        <f t="shared" si="76"/>
        <v/>
      </c>
      <c r="DP37" s="17" t="str">
        <f t="shared" si="76"/>
        <v/>
      </c>
      <c r="DQ37" s="17" t="str">
        <f t="shared" si="77"/>
        <v/>
      </c>
      <c r="DR37" s="17" t="str">
        <f t="shared" si="77"/>
        <v/>
      </c>
      <c r="DS37" s="17" t="str">
        <f t="shared" si="77"/>
        <v/>
      </c>
      <c r="DT37" s="17" t="str">
        <f t="shared" si="77"/>
        <v/>
      </c>
      <c r="DU37" s="17" t="str">
        <f t="shared" si="77"/>
        <v/>
      </c>
      <c r="DV37" s="17" t="str">
        <f t="shared" si="77"/>
        <v/>
      </c>
      <c r="DW37" s="17" t="str">
        <f t="shared" si="77"/>
        <v/>
      </c>
      <c r="DX37" s="17" t="str">
        <f t="shared" si="77"/>
        <v/>
      </c>
      <c r="DY37" s="17" t="str">
        <f t="shared" si="77"/>
        <v/>
      </c>
      <c r="DZ37" s="17" t="str">
        <f t="shared" si="77"/>
        <v/>
      </c>
      <c r="EA37" s="17" t="str">
        <f t="shared" si="78"/>
        <v/>
      </c>
      <c r="EB37" s="17" t="str">
        <f t="shared" si="78"/>
        <v/>
      </c>
      <c r="EC37" s="17" t="str">
        <f t="shared" si="78"/>
        <v/>
      </c>
      <c r="ED37" s="17" t="str">
        <f t="shared" si="78"/>
        <v/>
      </c>
      <c r="EE37" s="17" t="str">
        <f t="shared" si="78"/>
        <v/>
      </c>
      <c r="EF37" s="17" t="str">
        <f t="shared" si="78"/>
        <v/>
      </c>
      <c r="EG37" s="17" t="str">
        <f t="shared" si="78"/>
        <v>R</v>
      </c>
      <c r="EH37" s="17" t="str">
        <f t="shared" si="78"/>
        <v>R</v>
      </c>
      <c r="EI37" s="17" t="str">
        <f t="shared" si="78"/>
        <v>R</v>
      </c>
      <c r="EJ37" s="17" t="str">
        <f t="shared" si="78"/>
        <v>R</v>
      </c>
      <c r="EK37" s="17" t="str">
        <f t="shared" si="79"/>
        <v>R</v>
      </c>
      <c r="EL37" s="17" t="str">
        <f t="shared" si="79"/>
        <v>R</v>
      </c>
      <c r="EM37" s="17" t="str">
        <f t="shared" si="79"/>
        <v>R</v>
      </c>
      <c r="EN37" s="17" t="str">
        <f t="shared" si="79"/>
        <v>R</v>
      </c>
      <c r="EO37" s="17" t="str">
        <f t="shared" si="79"/>
        <v>R</v>
      </c>
      <c r="EP37" s="17" t="str">
        <f t="shared" si="79"/>
        <v>R</v>
      </c>
      <c r="EQ37" s="17" t="str">
        <f t="shared" si="79"/>
        <v>R</v>
      </c>
      <c r="ER37" s="17" t="str">
        <f t="shared" si="79"/>
        <v>R</v>
      </c>
      <c r="ES37" s="17" t="str">
        <f t="shared" si="79"/>
        <v>R</v>
      </c>
      <c r="ET37" s="17" t="str">
        <f t="shared" si="79"/>
        <v>R</v>
      </c>
      <c r="EU37" s="17" t="str">
        <f t="shared" si="80"/>
        <v>R</v>
      </c>
      <c r="EV37" s="17" t="str">
        <f t="shared" si="80"/>
        <v>R</v>
      </c>
      <c r="EW37" s="17" t="str">
        <f t="shared" si="80"/>
        <v>P</v>
      </c>
      <c r="EX37" s="17" t="str">
        <f t="shared" si="80"/>
        <v>P</v>
      </c>
      <c r="EY37" s="17" t="str">
        <f t="shared" si="80"/>
        <v>T</v>
      </c>
      <c r="EZ37" s="17" t="str">
        <f t="shared" si="80"/>
        <v>T</v>
      </c>
      <c r="FA37" s="17" t="str">
        <f t="shared" si="80"/>
        <v>T</v>
      </c>
      <c r="FB37" s="17" t="str">
        <f t="shared" si="80"/>
        <v>T</v>
      </c>
      <c r="FC37" s="17" t="str">
        <f t="shared" si="80"/>
        <v/>
      </c>
      <c r="FD37" s="17" t="str">
        <f t="shared" si="80"/>
        <v/>
      </c>
      <c r="FE37" s="17" t="str">
        <f t="shared" si="81"/>
        <v/>
      </c>
      <c r="FF37" s="17" t="str">
        <f t="shared" si="81"/>
        <v/>
      </c>
      <c r="FG37" s="17" t="str">
        <f t="shared" si="81"/>
        <v/>
      </c>
      <c r="FH37" s="17" t="str">
        <f t="shared" si="81"/>
        <v/>
      </c>
      <c r="FI37" s="17" t="str">
        <f t="shared" si="81"/>
        <v/>
      </c>
      <c r="FJ37" s="17" t="str">
        <f t="shared" si="81"/>
        <v/>
      </c>
      <c r="FK37" s="17" t="str">
        <f t="shared" si="81"/>
        <v/>
      </c>
      <c r="FL37" s="17" t="str">
        <f t="shared" si="81"/>
        <v/>
      </c>
      <c r="FM37" s="17" t="str">
        <f t="shared" si="81"/>
        <v/>
      </c>
      <c r="FN37" s="17" t="str">
        <f t="shared" si="81"/>
        <v/>
      </c>
      <c r="FO37" s="17" t="str">
        <f t="shared" si="82"/>
        <v/>
      </c>
      <c r="FP37" s="17" t="str">
        <f t="shared" si="82"/>
        <v/>
      </c>
      <c r="FQ37" s="17" t="str">
        <f t="shared" si="82"/>
        <v/>
      </c>
      <c r="FR37" s="17" t="str">
        <f t="shared" si="82"/>
        <v/>
      </c>
      <c r="FS37" s="17" t="str">
        <f t="shared" si="82"/>
        <v/>
      </c>
      <c r="FT37" s="17" t="str">
        <f t="shared" si="82"/>
        <v/>
      </c>
      <c r="FU37" s="17" t="str">
        <f t="shared" si="82"/>
        <v/>
      </c>
      <c r="FV37" s="17" t="str">
        <f t="shared" si="82"/>
        <v/>
      </c>
      <c r="FW37" s="17" t="str">
        <f t="shared" si="82"/>
        <v/>
      </c>
      <c r="FX37" s="17" t="str">
        <f t="shared" si="82"/>
        <v/>
      </c>
      <c r="FY37" s="17" t="str">
        <f t="shared" si="83"/>
        <v/>
      </c>
      <c r="FZ37" s="17" t="str">
        <f t="shared" si="83"/>
        <v/>
      </c>
      <c r="GA37" s="17" t="str">
        <f t="shared" si="83"/>
        <v/>
      </c>
      <c r="GB37" s="17" t="str">
        <f t="shared" si="83"/>
        <v/>
      </c>
      <c r="GC37" s="17" t="str">
        <f t="shared" si="83"/>
        <v/>
      </c>
      <c r="GD37" s="17" t="str">
        <f t="shared" si="83"/>
        <v/>
      </c>
      <c r="GE37" s="17" t="str">
        <f t="shared" si="83"/>
        <v/>
      </c>
      <c r="GF37" s="17" t="str">
        <f t="shared" si="83"/>
        <v/>
      </c>
      <c r="GG37" s="17" t="str">
        <f t="shared" si="83"/>
        <v/>
      </c>
      <c r="GH37" s="17" t="str">
        <f t="shared" si="83"/>
        <v/>
      </c>
      <c r="GI37" s="17" t="str">
        <f t="shared" si="84"/>
        <v/>
      </c>
      <c r="GJ37" s="17" t="str">
        <f t="shared" si="84"/>
        <v/>
      </c>
      <c r="GK37" s="17" t="str">
        <f t="shared" si="84"/>
        <v/>
      </c>
      <c r="GL37" s="17" t="str">
        <f t="shared" si="84"/>
        <v/>
      </c>
      <c r="GM37" s="17" t="str">
        <f t="shared" si="84"/>
        <v/>
      </c>
      <c r="GN37" s="17" t="str">
        <f t="shared" si="84"/>
        <v/>
      </c>
      <c r="GO37" s="17" t="str">
        <f t="shared" si="84"/>
        <v/>
      </c>
      <c r="GP37" s="17" t="str">
        <f t="shared" si="84"/>
        <v/>
      </c>
      <c r="GQ37" s="17" t="str">
        <f t="shared" si="84"/>
        <v/>
      </c>
      <c r="GR37" s="17" t="str">
        <f t="shared" si="84"/>
        <v/>
      </c>
      <c r="GS37" s="17" t="str">
        <f t="shared" si="85"/>
        <v/>
      </c>
      <c r="GT37" s="17" t="str">
        <f t="shared" si="85"/>
        <v/>
      </c>
      <c r="GU37" s="17" t="str">
        <f t="shared" si="85"/>
        <v/>
      </c>
      <c r="GV37" s="17" t="str">
        <f t="shared" si="85"/>
        <v/>
      </c>
      <c r="GW37" s="17" t="str">
        <f t="shared" si="85"/>
        <v/>
      </c>
      <c r="GX37" s="17" t="str">
        <f t="shared" si="85"/>
        <v/>
      </c>
      <c r="GY37" s="17" t="str">
        <f t="shared" si="85"/>
        <v/>
      </c>
      <c r="GZ37" s="17" t="str">
        <f t="shared" si="85"/>
        <v/>
      </c>
      <c r="HA37" s="17" t="str">
        <f t="shared" si="85"/>
        <v/>
      </c>
      <c r="HB37" s="17" t="str">
        <f t="shared" si="85"/>
        <v/>
      </c>
      <c r="HC37" s="17" t="str">
        <f t="shared" si="86"/>
        <v/>
      </c>
      <c r="HD37" s="17" t="str">
        <f t="shared" si="86"/>
        <v/>
      </c>
      <c r="HE37" s="17" t="str">
        <f t="shared" si="86"/>
        <v/>
      </c>
      <c r="HF37" s="17" t="str">
        <f t="shared" si="86"/>
        <v/>
      </c>
      <c r="HG37" s="17" t="str">
        <f t="shared" si="86"/>
        <v/>
      </c>
      <c r="HH37" s="17" t="str">
        <f t="shared" si="86"/>
        <v/>
      </c>
      <c r="HI37" s="17" t="str">
        <f t="shared" si="86"/>
        <v/>
      </c>
      <c r="HJ37" s="17" t="str">
        <f t="shared" si="86"/>
        <v/>
      </c>
      <c r="HK37" s="17" t="str">
        <f t="shared" si="86"/>
        <v/>
      </c>
      <c r="HL37" s="17" t="str">
        <f t="shared" si="86"/>
        <v/>
      </c>
      <c r="HM37" s="17" t="str">
        <f t="shared" si="87"/>
        <v/>
      </c>
      <c r="HN37" s="17" t="str">
        <f t="shared" si="87"/>
        <v/>
      </c>
      <c r="HO37" s="17" t="str">
        <f t="shared" si="87"/>
        <v/>
      </c>
      <c r="HP37" s="17" t="str">
        <f t="shared" si="87"/>
        <v/>
      </c>
      <c r="HQ37" s="17" t="str">
        <f t="shared" si="87"/>
        <v/>
      </c>
      <c r="HR37" s="17" t="str">
        <f t="shared" si="87"/>
        <v/>
      </c>
      <c r="HS37" s="17" t="str">
        <f t="shared" si="87"/>
        <v/>
      </c>
      <c r="HT37" s="17" t="str">
        <f t="shared" si="87"/>
        <v/>
      </c>
      <c r="HU37" s="17" t="str">
        <f t="shared" si="87"/>
        <v/>
      </c>
      <c r="HV37" s="17" t="str">
        <f t="shared" si="87"/>
        <v/>
      </c>
      <c r="HW37" s="17" t="str">
        <f t="shared" si="87"/>
        <v/>
      </c>
      <c r="HX37" s="17" t="str">
        <f t="shared" si="87"/>
        <v/>
      </c>
      <c r="HY37" s="17" t="str">
        <f t="shared" si="87"/>
        <v/>
      </c>
      <c r="HZ37" s="17" t="str">
        <f t="shared" si="87"/>
        <v/>
      </c>
      <c r="IA37" s="17" t="str">
        <f t="shared" si="87"/>
        <v/>
      </c>
    </row>
    <row r="38" spans="1:235" ht="25.95" customHeight="1" x14ac:dyDescent="0.3">
      <c r="A38" s="7">
        <v>33</v>
      </c>
      <c r="B38" s="7">
        <f>Premissas!$B$6</f>
        <v>6</v>
      </c>
      <c r="C38" s="7">
        <f>32*Premissas!$B$8</f>
        <v>387.87878787878793</v>
      </c>
      <c r="D38" s="7">
        <f>C38+Premissas!$B$9</f>
        <v>435.87878787878793</v>
      </c>
      <c r="E38" s="7">
        <f>C38+Premissas!$B$11</f>
        <v>441.87878787878793</v>
      </c>
      <c r="F38" s="7">
        <f>E38+Premissas!$B$8</f>
        <v>454.00000000000006</v>
      </c>
      <c r="G38" s="7">
        <f>Premissas!$B$11</f>
        <v>54</v>
      </c>
      <c r="H38" s="7">
        <f>Premissas!$B$12</f>
        <v>3</v>
      </c>
      <c r="I38" s="7" t="s">
        <v>47</v>
      </c>
      <c r="J38" s="8" t="s">
        <v>48</v>
      </c>
      <c r="K38" s="17" t="str">
        <f t="shared" si="66"/>
        <v/>
      </c>
      <c r="L38" s="17" t="str">
        <f t="shared" si="66"/>
        <v/>
      </c>
      <c r="M38" s="17" t="str">
        <f t="shared" si="66"/>
        <v/>
      </c>
      <c r="N38" s="17" t="str">
        <f t="shared" si="66"/>
        <v/>
      </c>
      <c r="O38" s="17" t="str">
        <f t="shared" si="66"/>
        <v/>
      </c>
      <c r="P38" s="17" t="str">
        <f t="shared" si="66"/>
        <v/>
      </c>
      <c r="Q38" s="17" t="str">
        <f t="shared" si="66"/>
        <v/>
      </c>
      <c r="R38" s="17" t="str">
        <f t="shared" si="66"/>
        <v/>
      </c>
      <c r="S38" s="17" t="str">
        <f t="shared" si="66"/>
        <v/>
      </c>
      <c r="T38" s="17" t="str">
        <f t="shared" si="66"/>
        <v/>
      </c>
      <c r="U38" s="17" t="str">
        <f t="shared" si="67"/>
        <v/>
      </c>
      <c r="V38" s="17" t="str">
        <f t="shared" si="67"/>
        <v/>
      </c>
      <c r="W38" s="17" t="str">
        <f t="shared" si="67"/>
        <v/>
      </c>
      <c r="X38" s="17" t="str">
        <f t="shared" si="67"/>
        <v/>
      </c>
      <c r="Y38" s="17" t="str">
        <f t="shared" si="67"/>
        <v/>
      </c>
      <c r="Z38" s="17" t="str">
        <f t="shared" si="67"/>
        <v/>
      </c>
      <c r="AA38" s="17" t="str">
        <f t="shared" si="67"/>
        <v/>
      </c>
      <c r="AB38" s="17" t="str">
        <f t="shared" si="67"/>
        <v/>
      </c>
      <c r="AC38" s="17" t="str">
        <f t="shared" si="67"/>
        <v/>
      </c>
      <c r="AD38" s="17" t="str">
        <f t="shared" si="67"/>
        <v/>
      </c>
      <c r="AE38" s="17" t="str">
        <f t="shared" si="68"/>
        <v/>
      </c>
      <c r="AF38" s="17" t="str">
        <f t="shared" si="68"/>
        <v/>
      </c>
      <c r="AG38" s="17" t="str">
        <f t="shared" si="68"/>
        <v/>
      </c>
      <c r="AH38" s="17" t="str">
        <f t="shared" si="68"/>
        <v/>
      </c>
      <c r="AI38" s="17" t="str">
        <f t="shared" si="68"/>
        <v/>
      </c>
      <c r="AJ38" s="17" t="str">
        <f t="shared" si="68"/>
        <v/>
      </c>
      <c r="AK38" s="17" t="str">
        <f t="shared" si="68"/>
        <v/>
      </c>
      <c r="AL38" s="17" t="str">
        <f t="shared" si="68"/>
        <v/>
      </c>
      <c r="AM38" s="17" t="str">
        <f t="shared" si="68"/>
        <v/>
      </c>
      <c r="AN38" s="17" t="str">
        <f t="shared" si="68"/>
        <v/>
      </c>
      <c r="AO38" s="17" t="str">
        <f t="shared" si="69"/>
        <v/>
      </c>
      <c r="AP38" s="17" t="str">
        <f t="shared" si="69"/>
        <v/>
      </c>
      <c r="AQ38" s="17" t="str">
        <f t="shared" si="69"/>
        <v/>
      </c>
      <c r="AR38" s="17" t="str">
        <f t="shared" si="69"/>
        <v/>
      </c>
      <c r="AS38" s="17" t="str">
        <f t="shared" si="69"/>
        <v/>
      </c>
      <c r="AT38" s="17" t="str">
        <f t="shared" si="69"/>
        <v/>
      </c>
      <c r="AU38" s="17" t="str">
        <f t="shared" si="69"/>
        <v/>
      </c>
      <c r="AV38" s="17" t="str">
        <f t="shared" si="69"/>
        <v/>
      </c>
      <c r="AW38" s="17" t="str">
        <f t="shared" si="69"/>
        <v/>
      </c>
      <c r="AX38" s="17" t="str">
        <f t="shared" si="69"/>
        <v/>
      </c>
      <c r="AY38" s="17" t="str">
        <f t="shared" si="70"/>
        <v/>
      </c>
      <c r="AZ38" s="17" t="str">
        <f t="shared" si="70"/>
        <v/>
      </c>
      <c r="BA38" s="17" t="str">
        <f t="shared" si="70"/>
        <v/>
      </c>
      <c r="BB38" s="17" t="str">
        <f t="shared" si="70"/>
        <v/>
      </c>
      <c r="BC38" s="17" t="str">
        <f t="shared" si="70"/>
        <v/>
      </c>
      <c r="BD38" s="17" t="str">
        <f t="shared" si="70"/>
        <v/>
      </c>
      <c r="BE38" s="17" t="str">
        <f t="shared" si="70"/>
        <v/>
      </c>
      <c r="BF38" s="17" t="str">
        <f t="shared" si="70"/>
        <v/>
      </c>
      <c r="BG38" s="17" t="str">
        <f t="shared" si="70"/>
        <v/>
      </c>
      <c r="BH38" s="17" t="str">
        <f t="shared" si="70"/>
        <v/>
      </c>
      <c r="BI38" s="17" t="str">
        <f t="shared" si="71"/>
        <v/>
      </c>
      <c r="BJ38" s="17" t="str">
        <f t="shared" si="71"/>
        <v/>
      </c>
      <c r="BK38" s="17" t="str">
        <f t="shared" si="71"/>
        <v/>
      </c>
      <c r="BL38" s="17" t="str">
        <f t="shared" si="71"/>
        <v/>
      </c>
      <c r="BM38" s="17" t="str">
        <f t="shared" si="71"/>
        <v/>
      </c>
      <c r="BN38" s="17" t="str">
        <f t="shared" si="71"/>
        <v/>
      </c>
      <c r="BO38" s="17" t="str">
        <f t="shared" si="71"/>
        <v/>
      </c>
      <c r="BP38" s="17" t="str">
        <f t="shared" si="71"/>
        <v/>
      </c>
      <c r="BQ38" s="17" t="str">
        <f t="shared" si="71"/>
        <v/>
      </c>
      <c r="BR38" s="17" t="str">
        <f t="shared" si="71"/>
        <v/>
      </c>
      <c r="BS38" s="17" t="str">
        <f t="shared" si="72"/>
        <v/>
      </c>
      <c r="BT38" s="17" t="str">
        <f t="shared" si="72"/>
        <v/>
      </c>
      <c r="BU38" s="17" t="str">
        <f t="shared" si="72"/>
        <v/>
      </c>
      <c r="BV38" s="17" t="str">
        <f t="shared" si="72"/>
        <v/>
      </c>
      <c r="BW38" s="17" t="str">
        <f t="shared" si="72"/>
        <v/>
      </c>
      <c r="BX38" s="17" t="str">
        <f t="shared" si="72"/>
        <v/>
      </c>
      <c r="BY38" s="17" t="str">
        <f t="shared" si="72"/>
        <v/>
      </c>
      <c r="BZ38" s="17" t="str">
        <f t="shared" si="72"/>
        <v/>
      </c>
      <c r="CA38" s="17" t="str">
        <f t="shared" si="72"/>
        <v/>
      </c>
      <c r="CB38" s="17" t="str">
        <f t="shared" si="72"/>
        <v/>
      </c>
      <c r="CC38" s="17" t="str">
        <f t="shared" si="73"/>
        <v/>
      </c>
      <c r="CD38" s="17" t="str">
        <f t="shared" si="73"/>
        <v/>
      </c>
      <c r="CE38" s="17" t="str">
        <f t="shared" si="73"/>
        <v/>
      </c>
      <c r="CF38" s="17" t="str">
        <f t="shared" si="73"/>
        <v/>
      </c>
      <c r="CG38" s="17" t="str">
        <f t="shared" si="73"/>
        <v/>
      </c>
      <c r="CH38" s="17" t="str">
        <f t="shared" si="73"/>
        <v/>
      </c>
      <c r="CI38" s="17" t="str">
        <f t="shared" si="73"/>
        <v/>
      </c>
      <c r="CJ38" s="17" t="str">
        <f t="shared" si="73"/>
        <v/>
      </c>
      <c r="CK38" s="17" t="str">
        <f t="shared" si="73"/>
        <v/>
      </c>
      <c r="CL38" s="17" t="str">
        <f t="shared" si="73"/>
        <v/>
      </c>
      <c r="CM38" s="17" t="str">
        <f t="shared" si="74"/>
        <v/>
      </c>
      <c r="CN38" s="17" t="str">
        <f t="shared" si="74"/>
        <v/>
      </c>
      <c r="CO38" s="17" t="str">
        <f t="shared" si="74"/>
        <v/>
      </c>
      <c r="CP38" s="17" t="str">
        <f t="shared" si="74"/>
        <v/>
      </c>
      <c r="CQ38" s="17" t="str">
        <f t="shared" si="74"/>
        <v/>
      </c>
      <c r="CR38" s="17" t="str">
        <f t="shared" si="74"/>
        <v/>
      </c>
      <c r="CS38" s="17" t="str">
        <f t="shared" si="74"/>
        <v/>
      </c>
      <c r="CT38" s="17" t="str">
        <f t="shared" si="74"/>
        <v/>
      </c>
      <c r="CU38" s="17" t="str">
        <f t="shared" si="74"/>
        <v/>
      </c>
      <c r="CV38" s="17" t="str">
        <f t="shared" si="74"/>
        <v/>
      </c>
      <c r="CW38" s="17" t="str">
        <f t="shared" si="75"/>
        <v/>
      </c>
      <c r="CX38" s="17" t="str">
        <f t="shared" si="75"/>
        <v/>
      </c>
      <c r="CY38" s="17" t="str">
        <f t="shared" si="75"/>
        <v/>
      </c>
      <c r="CZ38" s="17" t="str">
        <f t="shared" si="75"/>
        <v/>
      </c>
      <c r="DA38" s="17" t="str">
        <f t="shared" si="75"/>
        <v/>
      </c>
      <c r="DB38" s="17" t="str">
        <f t="shared" si="75"/>
        <v/>
      </c>
      <c r="DC38" s="17" t="str">
        <f t="shared" si="75"/>
        <v/>
      </c>
      <c r="DD38" s="17" t="str">
        <f t="shared" si="75"/>
        <v/>
      </c>
      <c r="DE38" s="17" t="str">
        <f t="shared" si="75"/>
        <v/>
      </c>
      <c r="DF38" s="17" t="str">
        <f t="shared" si="75"/>
        <v/>
      </c>
      <c r="DG38" s="17" t="str">
        <f t="shared" si="76"/>
        <v/>
      </c>
      <c r="DH38" s="17" t="str">
        <f t="shared" si="76"/>
        <v/>
      </c>
      <c r="DI38" s="17" t="str">
        <f t="shared" si="76"/>
        <v/>
      </c>
      <c r="DJ38" s="17" t="str">
        <f t="shared" si="76"/>
        <v/>
      </c>
      <c r="DK38" s="17" t="str">
        <f t="shared" si="76"/>
        <v/>
      </c>
      <c r="DL38" s="17" t="str">
        <f t="shared" si="76"/>
        <v/>
      </c>
      <c r="DM38" s="17" t="str">
        <f t="shared" si="76"/>
        <v/>
      </c>
      <c r="DN38" s="17" t="str">
        <f t="shared" si="76"/>
        <v/>
      </c>
      <c r="DO38" s="17" t="str">
        <f t="shared" si="76"/>
        <v/>
      </c>
      <c r="DP38" s="17" t="str">
        <f t="shared" si="76"/>
        <v/>
      </c>
      <c r="DQ38" s="17" t="str">
        <f t="shared" si="77"/>
        <v/>
      </c>
      <c r="DR38" s="17" t="str">
        <f t="shared" si="77"/>
        <v/>
      </c>
      <c r="DS38" s="17" t="str">
        <f t="shared" si="77"/>
        <v/>
      </c>
      <c r="DT38" s="17" t="str">
        <f t="shared" si="77"/>
        <v/>
      </c>
      <c r="DU38" s="17" t="str">
        <f t="shared" si="77"/>
        <v/>
      </c>
      <c r="DV38" s="17" t="str">
        <f t="shared" si="77"/>
        <v/>
      </c>
      <c r="DW38" s="17" t="str">
        <f t="shared" si="77"/>
        <v/>
      </c>
      <c r="DX38" s="17" t="str">
        <f t="shared" si="77"/>
        <v/>
      </c>
      <c r="DY38" s="17" t="str">
        <f t="shared" si="77"/>
        <v/>
      </c>
      <c r="DZ38" s="17" t="str">
        <f t="shared" si="77"/>
        <v/>
      </c>
      <c r="EA38" s="17" t="str">
        <f t="shared" si="78"/>
        <v/>
      </c>
      <c r="EB38" s="17" t="str">
        <f t="shared" si="78"/>
        <v/>
      </c>
      <c r="EC38" s="17" t="str">
        <f t="shared" si="78"/>
        <v/>
      </c>
      <c r="ED38" s="17" t="str">
        <f t="shared" si="78"/>
        <v/>
      </c>
      <c r="EE38" s="17" t="str">
        <f t="shared" si="78"/>
        <v/>
      </c>
      <c r="EF38" s="17" t="str">
        <f t="shared" si="78"/>
        <v/>
      </c>
      <c r="EG38" s="17" t="str">
        <f t="shared" si="78"/>
        <v/>
      </c>
      <c r="EH38" s="17" t="str">
        <f t="shared" si="78"/>
        <v/>
      </c>
      <c r="EI38" s="17" t="str">
        <f t="shared" si="78"/>
        <v/>
      </c>
      <c r="EJ38" s="17" t="str">
        <f t="shared" si="78"/>
        <v/>
      </c>
      <c r="EK38" s="17" t="str">
        <f t="shared" si="79"/>
        <v>R</v>
      </c>
      <c r="EL38" s="17" t="str">
        <f t="shared" si="79"/>
        <v>R</v>
      </c>
      <c r="EM38" s="17" t="str">
        <f t="shared" si="79"/>
        <v>R</v>
      </c>
      <c r="EN38" s="17" t="str">
        <f t="shared" si="79"/>
        <v>R</v>
      </c>
      <c r="EO38" s="17" t="str">
        <f t="shared" si="79"/>
        <v>R</v>
      </c>
      <c r="EP38" s="17" t="str">
        <f t="shared" si="79"/>
        <v>R</v>
      </c>
      <c r="EQ38" s="17" t="str">
        <f t="shared" si="79"/>
        <v>R</v>
      </c>
      <c r="ER38" s="17" t="str">
        <f t="shared" si="79"/>
        <v>R</v>
      </c>
      <c r="ES38" s="17" t="str">
        <f t="shared" si="79"/>
        <v>R</v>
      </c>
      <c r="ET38" s="17" t="str">
        <f t="shared" si="79"/>
        <v>R</v>
      </c>
      <c r="EU38" s="17" t="str">
        <f t="shared" si="80"/>
        <v>R</v>
      </c>
      <c r="EV38" s="17" t="str">
        <f t="shared" si="80"/>
        <v>R</v>
      </c>
      <c r="EW38" s="17" t="str">
        <f t="shared" si="80"/>
        <v>R</v>
      </c>
      <c r="EX38" s="17" t="str">
        <f t="shared" si="80"/>
        <v>R</v>
      </c>
      <c r="EY38" s="17" t="str">
        <f t="shared" si="80"/>
        <v>R</v>
      </c>
      <c r="EZ38" s="17" t="str">
        <f t="shared" si="80"/>
        <v>R</v>
      </c>
      <c r="FA38" s="17" t="str">
        <f t="shared" si="80"/>
        <v>P</v>
      </c>
      <c r="FB38" s="17" t="str">
        <f t="shared" si="80"/>
        <v>P</v>
      </c>
      <c r="FC38" s="17" t="str">
        <f t="shared" si="80"/>
        <v>T</v>
      </c>
      <c r="FD38" s="17" t="str">
        <f t="shared" si="80"/>
        <v>T</v>
      </c>
      <c r="FE38" s="17" t="str">
        <f t="shared" si="81"/>
        <v>T</v>
      </c>
      <c r="FF38" s="17" t="str">
        <f t="shared" si="81"/>
        <v>T</v>
      </c>
      <c r="FG38" s="17" t="str">
        <f t="shared" si="81"/>
        <v/>
      </c>
      <c r="FH38" s="17" t="str">
        <f t="shared" si="81"/>
        <v/>
      </c>
      <c r="FI38" s="17" t="str">
        <f t="shared" si="81"/>
        <v/>
      </c>
      <c r="FJ38" s="17" t="str">
        <f t="shared" si="81"/>
        <v/>
      </c>
      <c r="FK38" s="17" t="str">
        <f t="shared" si="81"/>
        <v/>
      </c>
      <c r="FL38" s="17" t="str">
        <f t="shared" si="81"/>
        <v/>
      </c>
      <c r="FM38" s="17" t="str">
        <f t="shared" si="81"/>
        <v/>
      </c>
      <c r="FN38" s="17" t="str">
        <f t="shared" si="81"/>
        <v/>
      </c>
      <c r="FO38" s="17" t="str">
        <f t="shared" si="82"/>
        <v/>
      </c>
      <c r="FP38" s="17" t="str">
        <f t="shared" si="82"/>
        <v/>
      </c>
      <c r="FQ38" s="17" t="str">
        <f t="shared" si="82"/>
        <v/>
      </c>
      <c r="FR38" s="17" t="str">
        <f t="shared" si="82"/>
        <v/>
      </c>
      <c r="FS38" s="17" t="str">
        <f t="shared" si="82"/>
        <v/>
      </c>
      <c r="FT38" s="17" t="str">
        <f t="shared" si="82"/>
        <v/>
      </c>
      <c r="FU38" s="17" t="str">
        <f t="shared" si="82"/>
        <v/>
      </c>
      <c r="FV38" s="17" t="str">
        <f t="shared" si="82"/>
        <v/>
      </c>
      <c r="FW38" s="17" t="str">
        <f t="shared" si="82"/>
        <v/>
      </c>
      <c r="FX38" s="17" t="str">
        <f t="shared" si="82"/>
        <v/>
      </c>
      <c r="FY38" s="17" t="str">
        <f t="shared" si="83"/>
        <v/>
      </c>
      <c r="FZ38" s="17" t="str">
        <f t="shared" si="83"/>
        <v/>
      </c>
      <c r="GA38" s="17" t="str">
        <f t="shared" si="83"/>
        <v/>
      </c>
      <c r="GB38" s="17" t="str">
        <f t="shared" si="83"/>
        <v/>
      </c>
      <c r="GC38" s="17" t="str">
        <f t="shared" si="83"/>
        <v/>
      </c>
      <c r="GD38" s="17" t="str">
        <f t="shared" si="83"/>
        <v/>
      </c>
      <c r="GE38" s="17" t="str">
        <f t="shared" si="83"/>
        <v/>
      </c>
      <c r="GF38" s="17" t="str">
        <f t="shared" si="83"/>
        <v/>
      </c>
      <c r="GG38" s="17" t="str">
        <f t="shared" si="83"/>
        <v/>
      </c>
      <c r="GH38" s="17" t="str">
        <f t="shared" si="83"/>
        <v/>
      </c>
      <c r="GI38" s="17" t="str">
        <f t="shared" si="84"/>
        <v/>
      </c>
      <c r="GJ38" s="17" t="str">
        <f t="shared" si="84"/>
        <v/>
      </c>
      <c r="GK38" s="17" t="str">
        <f t="shared" si="84"/>
        <v/>
      </c>
      <c r="GL38" s="17" t="str">
        <f t="shared" si="84"/>
        <v/>
      </c>
      <c r="GM38" s="17" t="str">
        <f t="shared" si="84"/>
        <v/>
      </c>
      <c r="GN38" s="17" t="str">
        <f t="shared" si="84"/>
        <v/>
      </c>
      <c r="GO38" s="17" t="str">
        <f t="shared" si="84"/>
        <v/>
      </c>
      <c r="GP38" s="17" t="str">
        <f t="shared" si="84"/>
        <v/>
      </c>
      <c r="GQ38" s="17" t="str">
        <f t="shared" si="84"/>
        <v/>
      </c>
      <c r="GR38" s="17" t="str">
        <f t="shared" si="84"/>
        <v/>
      </c>
      <c r="GS38" s="17" t="str">
        <f t="shared" si="85"/>
        <v/>
      </c>
      <c r="GT38" s="17" t="str">
        <f t="shared" si="85"/>
        <v/>
      </c>
      <c r="GU38" s="17" t="str">
        <f t="shared" si="85"/>
        <v/>
      </c>
      <c r="GV38" s="17" t="str">
        <f t="shared" si="85"/>
        <v/>
      </c>
      <c r="GW38" s="17" t="str">
        <f t="shared" si="85"/>
        <v/>
      </c>
      <c r="GX38" s="17" t="str">
        <f t="shared" si="85"/>
        <v/>
      </c>
      <c r="GY38" s="17" t="str">
        <f t="shared" si="85"/>
        <v/>
      </c>
      <c r="GZ38" s="17" t="str">
        <f t="shared" si="85"/>
        <v/>
      </c>
      <c r="HA38" s="17" t="str">
        <f t="shared" si="85"/>
        <v/>
      </c>
      <c r="HB38" s="17" t="str">
        <f t="shared" si="85"/>
        <v/>
      </c>
      <c r="HC38" s="17" t="str">
        <f t="shared" si="86"/>
        <v/>
      </c>
      <c r="HD38" s="17" t="str">
        <f t="shared" si="86"/>
        <v/>
      </c>
      <c r="HE38" s="17" t="str">
        <f t="shared" si="86"/>
        <v/>
      </c>
      <c r="HF38" s="17" t="str">
        <f t="shared" si="86"/>
        <v/>
      </c>
      <c r="HG38" s="17" t="str">
        <f t="shared" si="86"/>
        <v/>
      </c>
      <c r="HH38" s="17" t="str">
        <f t="shared" si="86"/>
        <v/>
      </c>
      <c r="HI38" s="17" t="str">
        <f t="shared" si="86"/>
        <v/>
      </c>
      <c r="HJ38" s="17" t="str">
        <f t="shared" si="86"/>
        <v/>
      </c>
      <c r="HK38" s="17" t="str">
        <f t="shared" si="86"/>
        <v/>
      </c>
      <c r="HL38" s="17" t="str">
        <f t="shared" si="86"/>
        <v/>
      </c>
      <c r="HM38" s="17" t="str">
        <f t="shared" si="87"/>
        <v/>
      </c>
      <c r="HN38" s="17" t="str">
        <f t="shared" si="87"/>
        <v/>
      </c>
      <c r="HO38" s="17" t="str">
        <f t="shared" si="87"/>
        <v/>
      </c>
      <c r="HP38" s="17" t="str">
        <f t="shared" si="87"/>
        <v/>
      </c>
      <c r="HQ38" s="17" t="str">
        <f t="shared" si="87"/>
        <v/>
      </c>
      <c r="HR38" s="17" t="str">
        <f t="shared" si="87"/>
        <v/>
      </c>
      <c r="HS38" s="17" t="str">
        <f t="shared" si="87"/>
        <v/>
      </c>
      <c r="HT38" s="17" t="str">
        <f t="shared" si="87"/>
        <v/>
      </c>
      <c r="HU38" s="17" t="str">
        <f t="shared" si="87"/>
        <v/>
      </c>
      <c r="HV38" s="17" t="str">
        <f t="shared" si="87"/>
        <v/>
      </c>
      <c r="HW38" s="17" t="str">
        <f t="shared" si="87"/>
        <v/>
      </c>
      <c r="HX38" s="17" t="str">
        <f t="shared" si="87"/>
        <v/>
      </c>
      <c r="HY38" s="17" t="str">
        <f t="shared" si="87"/>
        <v/>
      </c>
      <c r="HZ38" s="17" t="str">
        <f t="shared" si="87"/>
        <v/>
      </c>
      <c r="IA38" s="17" t="str">
        <f t="shared" si="87"/>
        <v/>
      </c>
    </row>
    <row r="39" spans="1:235" ht="25.95" customHeight="1" x14ac:dyDescent="0.3">
      <c r="A39" s="7">
        <v>34</v>
      </c>
      <c r="B39" s="7">
        <f>Premissas!$B$6</f>
        <v>6</v>
      </c>
      <c r="C39" s="7">
        <f>33*Premissas!$B$8</f>
        <v>400.00000000000006</v>
      </c>
      <c r="D39" s="7">
        <f>C39+Premissas!$B$9</f>
        <v>448.00000000000006</v>
      </c>
      <c r="E39" s="7">
        <f>C39+Premissas!$B$11</f>
        <v>454.00000000000006</v>
      </c>
      <c r="F39" s="7">
        <f>E39+Premissas!$B$8</f>
        <v>466.12121212121218</v>
      </c>
      <c r="G39" s="7">
        <f>Premissas!$B$11</f>
        <v>54</v>
      </c>
      <c r="H39" s="7">
        <f>Premissas!$B$12</f>
        <v>3</v>
      </c>
      <c r="I39" s="7" t="s">
        <v>47</v>
      </c>
      <c r="J39" s="8" t="s">
        <v>48</v>
      </c>
      <c r="K39" s="17" t="str">
        <f t="shared" si="66"/>
        <v/>
      </c>
      <c r="L39" s="17" t="str">
        <f t="shared" si="66"/>
        <v/>
      </c>
      <c r="M39" s="17" t="str">
        <f t="shared" si="66"/>
        <v/>
      </c>
      <c r="N39" s="17" t="str">
        <f t="shared" si="66"/>
        <v/>
      </c>
      <c r="O39" s="17" t="str">
        <f t="shared" si="66"/>
        <v/>
      </c>
      <c r="P39" s="17" t="str">
        <f t="shared" si="66"/>
        <v/>
      </c>
      <c r="Q39" s="17" t="str">
        <f t="shared" si="66"/>
        <v/>
      </c>
      <c r="R39" s="17" t="str">
        <f t="shared" si="66"/>
        <v/>
      </c>
      <c r="S39" s="17" t="str">
        <f t="shared" si="66"/>
        <v/>
      </c>
      <c r="T39" s="17" t="str">
        <f t="shared" si="66"/>
        <v/>
      </c>
      <c r="U39" s="17" t="str">
        <f t="shared" si="67"/>
        <v/>
      </c>
      <c r="V39" s="17" t="str">
        <f t="shared" si="67"/>
        <v/>
      </c>
      <c r="W39" s="17" t="str">
        <f t="shared" si="67"/>
        <v/>
      </c>
      <c r="X39" s="17" t="str">
        <f t="shared" si="67"/>
        <v/>
      </c>
      <c r="Y39" s="17" t="str">
        <f t="shared" si="67"/>
        <v/>
      </c>
      <c r="Z39" s="17" t="str">
        <f t="shared" si="67"/>
        <v/>
      </c>
      <c r="AA39" s="17" t="str">
        <f t="shared" si="67"/>
        <v/>
      </c>
      <c r="AB39" s="17" t="str">
        <f t="shared" si="67"/>
        <v/>
      </c>
      <c r="AC39" s="17" t="str">
        <f t="shared" si="67"/>
        <v/>
      </c>
      <c r="AD39" s="17" t="str">
        <f t="shared" si="67"/>
        <v/>
      </c>
      <c r="AE39" s="17" t="str">
        <f t="shared" si="68"/>
        <v/>
      </c>
      <c r="AF39" s="17" t="str">
        <f t="shared" si="68"/>
        <v/>
      </c>
      <c r="AG39" s="17" t="str">
        <f t="shared" si="68"/>
        <v/>
      </c>
      <c r="AH39" s="17" t="str">
        <f t="shared" si="68"/>
        <v/>
      </c>
      <c r="AI39" s="17" t="str">
        <f t="shared" si="68"/>
        <v/>
      </c>
      <c r="AJ39" s="17" t="str">
        <f t="shared" si="68"/>
        <v/>
      </c>
      <c r="AK39" s="17" t="str">
        <f t="shared" si="68"/>
        <v/>
      </c>
      <c r="AL39" s="17" t="str">
        <f t="shared" si="68"/>
        <v/>
      </c>
      <c r="AM39" s="17" t="str">
        <f t="shared" si="68"/>
        <v/>
      </c>
      <c r="AN39" s="17" t="str">
        <f t="shared" si="68"/>
        <v/>
      </c>
      <c r="AO39" s="17" t="str">
        <f t="shared" si="69"/>
        <v/>
      </c>
      <c r="AP39" s="17" t="str">
        <f t="shared" si="69"/>
        <v/>
      </c>
      <c r="AQ39" s="17" t="str">
        <f t="shared" si="69"/>
        <v/>
      </c>
      <c r="AR39" s="17" t="str">
        <f t="shared" si="69"/>
        <v/>
      </c>
      <c r="AS39" s="17" t="str">
        <f t="shared" si="69"/>
        <v/>
      </c>
      <c r="AT39" s="17" t="str">
        <f t="shared" si="69"/>
        <v/>
      </c>
      <c r="AU39" s="17" t="str">
        <f t="shared" si="69"/>
        <v/>
      </c>
      <c r="AV39" s="17" t="str">
        <f t="shared" si="69"/>
        <v/>
      </c>
      <c r="AW39" s="17" t="str">
        <f t="shared" si="69"/>
        <v/>
      </c>
      <c r="AX39" s="17" t="str">
        <f t="shared" si="69"/>
        <v/>
      </c>
      <c r="AY39" s="17" t="str">
        <f t="shared" si="70"/>
        <v/>
      </c>
      <c r="AZ39" s="17" t="str">
        <f t="shared" si="70"/>
        <v/>
      </c>
      <c r="BA39" s="17" t="str">
        <f t="shared" si="70"/>
        <v/>
      </c>
      <c r="BB39" s="17" t="str">
        <f t="shared" si="70"/>
        <v/>
      </c>
      <c r="BC39" s="17" t="str">
        <f t="shared" si="70"/>
        <v/>
      </c>
      <c r="BD39" s="17" t="str">
        <f t="shared" si="70"/>
        <v/>
      </c>
      <c r="BE39" s="17" t="str">
        <f t="shared" si="70"/>
        <v/>
      </c>
      <c r="BF39" s="17" t="str">
        <f t="shared" si="70"/>
        <v/>
      </c>
      <c r="BG39" s="17" t="str">
        <f t="shared" si="70"/>
        <v/>
      </c>
      <c r="BH39" s="17" t="str">
        <f t="shared" si="70"/>
        <v/>
      </c>
      <c r="BI39" s="17" t="str">
        <f t="shared" si="71"/>
        <v/>
      </c>
      <c r="BJ39" s="17" t="str">
        <f t="shared" si="71"/>
        <v/>
      </c>
      <c r="BK39" s="17" t="str">
        <f t="shared" si="71"/>
        <v/>
      </c>
      <c r="BL39" s="17" t="str">
        <f t="shared" si="71"/>
        <v/>
      </c>
      <c r="BM39" s="17" t="str">
        <f t="shared" si="71"/>
        <v/>
      </c>
      <c r="BN39" s="17" t="str">
        <f t="shared" si="71"/>
        <v/>
      </c>
      <c r="BO39" s="17" t="str">
        <f t="shared" si="71"/>
        <v/>
      </c>
      <c r="BP39" s="17" t="str">
        <f t="shared" si="71"/>
        <v/>
      </c>
      <c r="BQ39" s="17" t="str">
        <f t="shared" si="71"/>
        <v/>
      </c>
      <c r="BR39" s="17" t="str">
        <f t="shared" si="71"/>
        <v/>
      </c>
      <c r="BS39" s="17" t="str">
        <f t="shared" si="72"/>
        <v/>
      </c>
      <c r="BT39" s="17" t="str">
        <f t="shared" si="72"/>
        <v/>
      </c>
      <c r="BU39" s="17" t="str">
        <f t="shared" si="72"/>
        <v/>
      </c>
      <c r="BV39" s="17" t="str">
        <f t="shared" si="72"/>
        <v/>
      </c>
      <c r="BW39" s="17" t="str">
        <f t="shared" si="72"/>
        <v/>
      </c>
      <c r="BX39" s="17" t="str">
        <f t="shared" si="72"/>
        <v/>
      </c>
      <c r="BY39" s="17" t="str">
        <f t="shared" si="72"/>
        <v/>
      </c>
      <c r="BZ39" s="17" t="str">
        <f t="shared" si="72"/>
        <v/>
      </c>
      <c r="CA39" s="17" t="str">
        <f t="shared" si="72"/>
        <v/>
      </c>
      <c r="CB39" s="17" t="str">
        <f t="shared" si="72"/>
        <v/>
      </c>
      <c r="CC39" s="17" t="str">
        <f t="shared" si="73"/>
        <v/>
      </c>
      <c r="CD39" s="17" t="str">
        <f t="shared" si="73"/>
        <v/>
      </c>
      <c r="CE39" s="17" t="str">
        <f t="shared" si="73"/>
        <v/>
      </c>
      <c r="CF39" s="17" t="str">
        <f t="shared" si="73"/>
        <v/>
      </c>
      <c r="CG39" s="17" t="str">
        <f t="shared" si="73"/>
        <v/>
      </c>
      <c r="CH39" s="17" t="str">
        <f t="shared" si="73"/>
        <v/>
      </c>
      <c r="CI39" s="17" t="str">
        <f t="shared" si="73"/>
        <v/>
      </c>
      <c r="CJ39" s="17" t="str">
        <f t="shared" si="73"/>
        <v/>
      </c>
      <c r="CK39" s="17" t="str">
        <f t="shared" si="73"/>
        <v/>
      </c>
      <c r="CL39" s="17" t="str">
        <f t="shared" si="73"/>
        <v/>
      </c>
      <c r="CM39" s="17" t="str">
        <f t="shared" si="74"/>
        <v/>
      </c>
      <c r="CN39" s="17" t="str">
        <f t="shared" si="74"/>
        <v/>
      </c>
      <c r="CO39" s="17" t="str">
        <f t="shared" si="74"/>
        <v/>
      </c>
      <c r="CP39" s="17" t="str">
        <f t="shared" si="74"/>
        <v/>
      </c>
      <c r="CQ39" s="17" t="str">
        <f t="shared" si="74"/>
        <v/>
      </c>
      <c r="CR39" s="17" t="str">
        <f t="shared" si="74"/>
        <v/>
      </c>
      <c r="CS39" s="17" t="str">
        <f t="shared" si="74"/>
        <v/>
      </c>
      <c r="CT39" s="17" t="str">
        <f t="shared" si="74"/>
        <v/>
      </c>
      <c r="CU39" s="17" t="str">
        <f t="shared" si="74"/>
        <v/>
      </c>
      <c r="CV39" s="17" t="str">
        <f t="shared" si="74"/>
        <v/>
      </c>
      <c r="CW39" s="17" t="str">
        <f t="shared" si="75"/>
        <v/>
      </c>
      <c r="CX39" s="17" t="str">
        <f t="shared" si="75"/>
        <v/>
      </c>
      <c r="CY39" s="17" t="str">
        <f t="shared" si="75"/>
        <v/>
      </c>
      <c r="CZ39" s="17" t="str">
        <f t="shared" si="75"/>
        <v/>
      </c>
      <c r="DA39" s="17" t="str">
        <f t="shared" si="75"/>
        <v/>
      </c>
      <c r="DB39" s="17" t="str">
        <f t="shared" si="75"/>
        <v/>
      </c>
      <c r="DC39" s="17" t="str">
        <f t="shared" si="75"/>
        <v/>
      </c>
      <c r="DD39" s="17" t="str">
        <f t="shared" si="75"/>
        <v/>
      </c>
      <c r="DE39" s="17" t="str">
        <f t="shared" si="75"/>
        <v/>
      </c>
      <c r="DF39" s="17" t="str">
        <f t="shared" si="75"/>
        <v/>
      </c>
      <c r="DG39" s="17" t="str">
        <f t="shared" si="76"/>
        <v/>
      </c>
      <c r="DH39" s="17" t="str">
        <f t="shared" si="76"/>
        <v/>
      </c>
      <c r="DI39" s="17" t="str">
        <f t="shared" si="76"/>
        <v/>
      </c>
      <c r="DJ39" s="17" t="str">
        <f t="shared" si="76"/>
        <v/>
      </c>
      <c r="DK39" s="17" t="str">
        <f t="shared" si="76"/>
        <v/>
      </c>
      <c r="DL39" s="17" t="str">
        <f t="shared" si="76"/>
        <v/>
      </c>
      <c r="DM39" s="17" t="str">
        <f t="shared" si="76"/>
        <v/>
      </c>
      <c r="DN39" s="17" t="str">
        <f t="shared" si="76"/>
        <v/>
      </c>
      <c r="DO39" s="17" t="str">
        <f t="shared" si="76"/>
        <v/>
      </c>
      <c r="DP39" s="17" t="str">
        <f t="shared" si="76"/>
        <v/>
      </c>
      <c r="DQ39" s="17" t="str">
        <f t="shared" si="77"/>
        <v/>
      </c>
      <c r="DR39" s="17" t="str">
        <f t="shared" si="77"/>
        <v/>
      </c>
      <c r="DS39" s="17" t="str">
        <f t="shared" si="77"/>
        <v/>
      </c>
      <c r="DT39" s="17" t="str">
        <f t="shared" si="77"/>
        <v/>
      </c>
      <c r="DU39" s="17" t="str">
        <f t="shared" si="77"/>
        <v/>
      </c>
      <c r="DV39" s="17" t="str">
        <f t="shared" si="77"/>
        <v/>
      </c>
      <c r="DW39" s="17" t="str">
        <f t="shared" si="77"/>
        <v/>
      </c>
      <c r="DX39" s="17" t="str">
        <f t="shared" si="77"/>
        <v/>
      </c>
      <c r="DY39" s="17" t="str">
        <f t="shared" si="77"/>
        <v/>
      </c>
      <c r="DZ39" s="17" t="str">
        <f t="shared" si="77"/>
        <v/>
      </c>
      <c r="EA39" s="17" t="str">
        <f t="shared" si="78"/>
        <v/>
      </c>
      <c r="EB39" s="17" t="str">
        <f t="shared" si="78"/>
        <v/>
      </c>
      <c r="EC39" s="17" t="str">
        <f t="shared" si="78"/>
        <v/>
      </c>
      <c r="ED39" s="17" t="str">
        <f t="shared" si="78"/>
        <v/>
      </c>
      <c r="EE39" s="17" t="str">
        <f t="shared" si="78"/>
        <v/>
      </c>
      <c r="EF39" s="17" t="str">
        <f t="shared" si="78"/>
        <v/>
      </c>
      <c r="EG39" s="17" t="str">
        <f t="shared" si="78"/>
        <v/>
      </c>
      <c r="EH39" s="17" t="str">
        <f t="shared" si="78"/>
        <v/>
      </c>
      <c r="EI39" s="17" t="str">
        <f t="shared" si="78"/>
        <v/>
      </c>
      <c r="EJ39" s="17" t="str">
        <f t="shared" si="78"/>
        <v/>
      </c>
      <c r="EK39" s="17" t="str">
        <f t="shared" si="79"/>
        <v/>
      </c>
      <c r="EL39" s="17" t="str">
        <f t="shared" si="79"/>
        <v/>
      </c>
      <c r="EM39" s="17" t="str">
        <f t="shared" si="79"/>
        <v/>
      </c>
      <c r="EN39" s="17" t="str">
        <f t="shared" si="79"/>
        <v/>
      </c>
      <c r="EO39" s="17" t="str">
        <f t="shared" si="79"/>
        <v>R</v>
      </c>
      <c r="EP39" s="17" t="str">
        <f t="shared" si="79"/>
        <v>R</v>
      </c>
      <c r="EQ39" s="17" t="str">
        <f t="shared" si="79"/>
        <v>R</v>
      </c>
      <c r="ER39" s="17" t="str">
        <f t="shared" si="79"/>
        <v>R</v>
      </c>
      <c r="ES39" s="17" t="str">
        <f t="shared" si="79"/>
        <v>R</v>
      </c>
      <c r="ET39" s="17" t="str">
        <f t="shared" si="79"/>
        <v>R</v>
      </c>
      <c r="EU39" s="17" t="str">
        <f t="shared" si="80"/>
        <v>R</v>
      </c>
      <c r="EV39" s="17" t="str">
        <f t="shared" si="80"/>
        <v>R</v>
      </c>
      <c r="EW39" s="17" t="str">
        <f t="shared" si="80"/>
        <v>R</v>
      </c>
      <c r="EX39" s="17" t="str">
        <f t="shared" si="80"/>
        <v>R</v>
      </c>
      <c r="EY39" s="17" t="str">
        <f t="shared" si="80"/>
        <v>R</v>
      </c>
      <c r="EZ39" s="17" t="str">
        <f t="shared" si="80"/>
        <v>R</v>
      </c>
      <c r="FA39" s="17" t="str">
        <f t="shared" si="80"/>
        <v>R</v>
      </c>
      <c r="FB39" s="17" t="str">
        <f t="shared" si="80"/>
        <v>R</v>
      </c>
      <c r="FC39" s="17" t="str">
        <f t="shared" si="80"/>
        <v>R</v>
      </c>
      <c r="FD39" s="17" t="str">
        <f t="shared" si="80"/>
        <v>R</v>
      </c>
      <c r="FE39" s="17" t="str">
        <f t="shared" si="81"/>
        <v>P</v>
      </c>
      <c r="FF39" s="17" t="str">
        <f t="shared" si="81"/>
        <v>P</v>
      </c>
      <c r="FG39" s="17" t="str">
        <f t="shared" si="81"/>
        <v>T</v>
      </c>
      <c r="FH39" s="17" t="str">
        <f t="shared" si="81"/>
        <v>T</v>
      </c>
      <c r="FI39" s="17" t="str">
        <f t="shared" si="81"/>
        <v>T</v>
      </c>
      <c r="FJ39" s="17" t="str">
        <f t="shared" si="81"/>
        <v>T</v>
      </c>
      <c r="FK39" s="17" t="str">
        <f t="shared" si="81"/>
        <v/>
      </c>
      <c r="FL39" s="17" t="str">
        <f t="shared" si="81"/>
        <v/>
      </c>
      <c r="FM39" s="17" t="str">
        <f t="shared" si="81"/>
        <v/>
      </c>
      <c r="FN39" s="17" t="str">
        <f t="shared" si="81"/>
        <v/>
      </c>
      <c r="FO39" s="17" t="str">
        <f t="shared" si="82"/>
        <v/>
      </c>
      <c r="FP39" s="17" t="str">
        <f t="shared" si="82"/>
        <v/>
      </c>
      <c r="FQ39" s="17" t="str">
        <f t="shared" si="82"/>
        <v/>
      </c>
      <c r="FR39" s="17" t="str">
        <f t="shared" si="82"/>
        <v/>
      </c>
      <c r="FS39" s="17" t="str">
        <f t="shared" si="82"/>
        <v/>
      </c>
      <c r="FT39" s="17" t="str">
        <f t="shared" si="82"/>
        <v/>
      </c>
      <c r="FU39" s="17" t="str">
        <f t="shared" si="82"/>
        <v/>
      </c>
      <c r="FV39" s="17" t="str">
        <f t="shared" si="82"/>
        <v/>
      </c>
      <c r="FW39" s="17" t="str">
        <f t="shared" si="82"/>
        <v/>
      </c>
      <c r="FX39" s="17" t="str">
        <f t="shared" si="82"/>
        <v/>
      </c>
      <c r="FY39" s="17" t="str">
        <f t="shared" si="83"/>
        <v/>
      </c>
      <c r="FZ39" s="17" t="str">
        <f t="shared" si="83"/>
        <v/>
      </c>
      <c r="GA39" s="17" t="str">
        <f t="shared" si="83"/>
        <v/>
      </c>
      <c r="GB39" s="17" t="str">
        <f t="shared" si="83"/>
        <v/>
      </c>
      <c r="GC39" s="17" t="str">
        <f t="shared" si="83"/>
        <v/>
      </c>
      <c r="GD39" s="17" t="str">
        <f t="shared" si="83"/>
        <v/>
      </c>
      <c r="GE39" s="17" t="str">
        <f t="shared" si="83"/>
        <v/>
      </c>
      <c r="GF39" s="17" t="str">
        <f t="shared" si="83"/>
        <v/>
      </c>
      <c r="GG39" s="17" t="str">
        <f t="shared" si="83"/>
        <v/>
      </c>
      <c r="GH39" s="17" t="str">
        <f t="shared" si="83"/>
        <v/>
      </c>
      <c r="GI39" s="17" t="str">
        <f t="shared" si="84"/>
        <v/>
      </c>
      <c r="GJ39" s="17" t="str">
        <f t="shared" si="84"/>
        <v/>
      </c>
      <c r="GK39" s="17" t="str">
        <f t="shared" si="84"/>
        <v/>
      </c>
      <c r="GL39" s="17" t="str">
        <f t="shared" si="84"/>
        <v/>
      </c>
      <c r="GM39" s="17" t="str">
        <f t="shared" si="84"/>
        <v/>
      </c>
      <c r="GN39" s="17" t="str">
        <f t="shared" si="84"/>
        <v/>
      </c>
      <c r="GO39" s="17" t="str">
        <f t="shared" si="84"/>
        <v/>
      </c>
      <c r="GP39" s="17" t="str">
        <f t="shared" si="84"/>
        <v/>
      </c>
      <c r="GQ39" s="17" t="str">
        <f t="shared" si="84"/>
        <v/>
      </c>
      <c r="GR39" s="17" t="str">
        <f t="shared" si="84"/>
        <v/>
      </c>
      <c r="GS39" s="17" t="str">
        <f t="shared" si="85"/>
        <v/>
      </c>
      <c r="GT39" s="17" t="str">
        <f t="shared" si="85"/>
        <v/>
      </c>
      <c r="GU39" s="17" t="str">
        <f t="shared" si="85"/>
        <v/>
      </c>
      <c r="GV39" s="17" t="str">
        <f t="shared" si="85"/>
        <v/>
      </c>
      <c r="GW39" s="17" t="str">
        <f t="shared" si="85"/>
        <v/>
      </c>
      <c r="GX39" s="17" t="str">
        <f t="shared" si="85"/>
        <v/>
      </c>
      <c r="GY39" s="17" t="str">
        <f t="shared" si="85"/>
        <v/>
      </c>
      <c r="GZ39" s="17" t="str">
        <f t="shared" si="85"/>
        <v/>
      </c>
      <c r="HA39" s="17" t="str">
        <f t="shared" si="85"/>
        <v/>
      </c>
      <c r="HB39" s="17" t="str">
        <f t="shared" si="85"/>
        <v/>
      </c>
      <c r="HC39" s="17" t="str">
        <f t="shared" si="86"/>
        <v/>
      </c>
      <c r="HD39" s="17" t="str">
        <f t="shared" si="86"/>
        <v/>
      </c>
      <c r="HE39" s="17" t="str">
        <f t="shared" si="86"/>
        <v/>
      </c>
      <c r="HF39" s="17" t="str">
        <f t="shared" si="86"/>
        <v/>
      </c>
      <c r="HG39" s="17" t="str">
        <f t="shared" si="86"/>
        <v/>
      </c>
      <c r="HH39" s="17" t="str">
        <f t="shared" si="86"/>
        <v/>
      </c>
      <c r="HI39" s="17" t="str">
        <f t="shared" si="86"/>
        <v/>
      </c>
      <c r="HJ39" s="17" t="str">
        <f t="shared" si="86"/>
        <v/>
      </c>
      <c r="HK39" s="17" t="str">
        <f t="shared" si="86"/>
        <v/>
      </c>
      <c r="HL39" s="17" t="str">
        <f t="shared" si="86"/>
        <v/>
      </c>
      <c r="HM39" s="17" t="str">
        <f t="shared" si="87"/>
        <v/>
      </c>
      <c r="HN39" s="17" t="str">
        <f t="shared" si="87"/>
        <v/>
      </c>
      <c r="HO39" s="17" t="str">
        <f t="shared" si="87"/>
        <v/>
      </c>
      <c r="HP39" s="17" t="str">
        <f t="shared" si="87"/>
        <v/>
      </c>
      <c r="HQ39" s="17" t="str">
        <f t="shared" si="87"/>
        <v/>
      </c>
      <c r="HR39" s="17" t="str">
        <f t="shared" si="87"/>
        <v/>
      </c>
      <c r="HS39" s="17" t="str">
        <f t="shared" si="87"/>
        <v/>
      </c>
      <c r="HT39" s="17" t="str">
        <f t="shared" si="87"/>
        <v/>
      </c>
      <c r="HU39" s="17" t="str">
        <f t="shared" si="87"/>
        <v/>
      </c>
      <c r="HV39" s="17" t="str">
        <f t="shared" si="87"/>
        <v/>
      </c>
      <c r="HW39" s="17" t="str">
        <f t="shared" si="87"/>
        <v/>
      </c>
      <c r="HX39" s="17" t="str">
        <f t="shared" si="87"/>
        <v/>
      </c>
      <c r="HY39" s="17" t="str">
        <f t="shared" si="87"/>
        <v/>
      </c>
      <c r="HZ39" s="17" t="str">
        <f t="shared" si="87"/>
        <v/>
      </c>
      <c r="IA39" s="17" t="str">
        <f t="shared" si="87"/>
        <v/>
      </c>
    </row>
    <row r="40" spans="1:235" ht="25.95" customHeight="1" x14ac:dyDescent="0.3">
      <c r="A40" s="7">
        <v>35</v>
      </c>
      <c r="B40" s="7">
        <f>Premissas!$B$6</f>
        <v>6</v>
      </c>
      <c r="C40" s="7">
        <f>34*Premissas!$B$8</f>
        <v>412.12121212121218</v>
      </c>
      <c r="D40" s="7">
        <f>C40+Premissas!$B$9</f>
        <v>460.12121212121218</v>
      </c>
      <c r="E40" s="7">
        <f>C40+Premissas!$B$11</f>
        <v>466.12121212121218</v>
      </c>
      <c r="F40" s="7">
        <f>E40+Premissas!$B$8</f>
        <v>478.24242424242431</v>
      </c>
      <c r="G40" s="7">
        <f>Premissas!$B$11</f>
        <v>54</v>
      </c>
      <c r="H40" s="7">
        <f>Premissas!$B$12</f>
        <v>3</v>
      </c>
      <c r="I40" s="7" t="s">
        <v>47</v>
      </c>
      <c r="J40" s="8" t="s">
        <v>48</v>
      </c>
      <c r="K40" s="17" t="str">
        <f t="shared" si="66"/>
        <v/>
      </c>
      <c r="L40" s="17" t="str">
        <f t="shared" si="66"/>
        <v/>
      </c>
      <c r="M40" s="17" t="str">
        <f t="shared" si="66"/>
        <v/>
      </c>
      <c r="N40" s="17" t="str">
        <f t="shared" si="66"/>
        <v/>
      </c>
      <c r="O40" s="17" t="str">
        <f t="shared" si="66"/>
        <v/>
      </c>
      <c r="P40" s="17" t="str">
        <f t="shared" si="66"/>
        <v/>
      </c>
      <c r="Q40" s="17" t="str">
        <f t="shared" si="66"/>
        <v/>
      </c>
      <c r="R40" s="17" t="str">
        <f t="shared" si="66"/>
        <v/>
      </c>
      <c r="S40" s="17" t="str">
        <f t="shared" si="66"/>
        <v/>
      </c>
      <c r="T40" s="17" t="str">
        <f t="shared" si="66"/>
        <v/>
      </c>
      <c r="U40" s="17" t="str">
        <f t="shared" si="67"/>
        <v/>
      </c>
      <c r="V40" s="17" t="str">
        <f t="shared" si="67"/>
        <v/>
      </c>
      <c r="W40" s="17" t="str">
        <f t="shared" si="67"/>
        <v/>
      </c>
      <c r="X40" s="17" t="str">
        <f t="shared" si="67"/>
        <v/>
      </c>
      <c r="Y40" s="17" t="str">
        <f t="shared" si="67"/>
        <v/>
      </c>
      <c r="Z40" s="17" t="str">
        <f t="shared" si="67"/>
        <v/>
      </c>
      <c r="AA40" s="17" t="str">
        <f t="shared" si="67"/>
        <v/>
      </c>
      <c r="AB40" s="17" t="str">
        <f t="shared" si="67"/>
        <v/>
      </c>
      <c r="AC40" s="17" t="str">
        <f t="shared" si="67"/>
        <v/>
      </c>
      <c r="AD40" s="17" t="str">
        <f t="shared" si="67"/>
        <v/>
      </c>
      <c r="AE40" s="17" t="str">
        <f t="shared" si="68"/>
        <v/>
      </c>
      <c r="AF40" s="17" t="str">
        <f t="shared" si="68"/>
        <v/>
      </c>
      <c r="AG40" s="17" t="str">
        <f t="shared" si="68"/>
        <v/>
      </c>
      <c r="AH40" s="17" t="str">
        <f t="shared" si="68"/>
        <v/>
      </c>
      <c r="AI40" s="17" t="str">
        <f t="shared" si="68"/>
        <v/>
      </c>
      <c r="AJ40" s="17" t="str">
        <f t="shared" si="68"/>
        <v/>
      </c>
      <c r="AK40" s="17" t="str">
        <f t="shared" si="68"/>
        <v/>
      </c>
      <c r="AL40" s="17" t="str">
        <f t="shared" si="68"/>
        <v/>
      </c>
      <c r="AM40" s="17" t="str">
        <f t="shared" si="68"/>
        <v/>
      </c>
      <c r="AN40" s="17" t="str">
        <f t="shared" si="68"/>
        <v/>
      </c>
      <c r="AO40" s="17" t="str">
        <f t="shared" si="69"/>
        <v/>
      </c>
      <c r="AP40" s="17" t="str">
        <f t="shared" si="69"/>
        <v/>
      </c>
      <c r="AQ40" s="17" t="str">
        <f t="shared" si="69"/>
        <v/>
      </c>
      <c r="AR40" s="17" t="str">
        <f t="shared" si="69"/>
        <v/>
      </c>
      <c r="AS40" s="17" t="str">
        <f t="shared" si="69"/>
        <v/>
      </c>
      <c r="AT40" s="17" t="str">
        <f t="shared" si="69"/>
        <v/>
      </c>
      <c r="AU40" s="17" t="str">
        <f t="shared" si="69"/>
        <v/>
      </c>
      <c r="AV40" s="17" t="str">
        <f t="shared" si="69"/>
        <v/>
      </c>
      <c r="AW40" s="17" t="str">
        <f t="shared" si="69"/>
        <v/>
      </c>
      <c r="AX40" s="17" t="str">
        <f t="shared" si="69"/>
        <v/>
      </c>
      <c r="AY40" s="17" t="str">
        <f t="shared" si="70"/>
        <v/>
      </c>
      <c r="AZ40" s="17" t="str">
        <f t="shared" si="70"/>
        <v/>
      </c>
      <c r="BA40" s="17" t="str">
        <f t="shared" si="70"/>
        <v/>
      </c>
      <c r="BB40" s="17" t="str">
        <f t="shared" si="70"/>
        <v/>
      </c>
      <c r="BC40" s="17" t="str">
        <f t="shared" si="70"/>
        <v/>
      </c>
      <c r="BD40" s="17" t="str">
        <f t="shared" si="70"/>
        <v/>
      </c>
      <c r="BE40" s="17" t="str">
        <f t="shared" si="70"/>
        <v/>
      </c>
      <c r="BF40" s="17" t="str">
        <f t="shared" si="70"/>
        <v/>
      </c>
      <c r="BG40" s="17" t="str">
        <f t="shared" si="70"/>
        <v/>
      </c>
      <c r="BH40" s="17" t="str">
        <f t="shared" si="70"/>
        <v/>
      </c>
      <c r="BI40" s="17" t="str">
        <f t="shared" si="71"/>
        <v/>
      </c>
      <c r="BJ40" s="17" t="str">
        <f t="shared" si="71"/>
        <v/>
      </c>
      <c r="BK40" s="17" t="str">
        <f t="shared" si="71"/>
        <v/>
      </c>
      <c r="BL40" s="17" t="str">
        <f t="shared" si="71"/>
        <v/>
      </c>
      <c r="BM40" s="17" t="str">
        <f t="shared" si="71"/>
        <v/>
      </c>
      <c r="BN40" s="17" t="str">
        <f t="shared" si="71"/>
        <v/>
      </c>
      <c r="BO40" s="17" t="str">
        <f t="shared" si="71"/>
        <v/>
      </c>
      <c r="BP40" s="17" t="str">
        <f t="shared" si="71"/>
        <v/>
      </c>
      <c r="BQ40" s="17" t="str">
        <f t="shared" si="71"/>
        <v/>
      </c>
      <c r="BR40" s="17" t="str">
        <f t="shared" si="71"/>
        <v/>
      </c>
      <c r="BS40" s="17" t="str">
        <f t="shared" si="72"/>
        <v/>
      </c>
      <c r="BT40" s="17" t="str">
        <f t="shared" si="72"/>
        <v/>
      </c>
      <c r="BU40" s="17" t="str">
        <f t="shared" si="72"/>
        <v/>
      </c>
      <c r="BV40" s="17" t="str">
        <f t="shared" si="72"/>
        <v/>
      </c>
      <c r="BW40" s="17" t="str">
        <f t="shared" si="72"/>
        <v/>
      </c>
      <c r="BX40" s="17" t="str">
        <f t="shared" si="72"/>
        <v/>
      </c>
      <c r="BY40" s="17" t="str">
        <f t="shared" si="72"/>
        <v/>
      </c>
      <c r="BZ40" s="17" t="str">
        <f t="shared" si="72"/>
        <v/>
      </c>
      <c r="CA40" s="17" t="str">
        <f t="shared" si="72"/>
        <v/>
      </c>
      <c r="CB40" s="17" t="str">
        <f t="shared" si="72"/>
        <v/>
      </c>
      <c r="CC40" s="17" t="str">
        <f t="shared" si="73"/>
        <v/>
      </c>
      <c r="CD40" s="17" t="str">
        <f t="shared" si="73"/>
        <v/>
      </c>
      <c r="CE40" s="17" t="str">
        <f t="shared" si="73"/>
        <v/>
      </c>
      <c r="CF40" s="17" t="str">
        <f t="shared" si="73"/>
        <v/>
      </c>
      <c r="CG40" s="17" t="str">
        <f t="shared" si="73"/>
        <v/>
      </c>
      <c r="CH40" s="17" t="str">
        <f t="shared" si="73"/>
        <v/>
      </c>
      <c r="CI40" s="17" t="str">
        <f t="shared" si="73"/>
        <v/>
      </c>
      <c r="CJ40" s="17" t="str">
        <f t="shared" si="73"/>
        <v/>
      </c>
      <c r="CK40" s="17" t="str">
        <f t="shared" si="73"/>
        <v/>
      </c>
      <c r="CL40" s="17" t="str">
        <f t="shared" si="73"/>
        <v/>
      </c>
      <c r="CM40" s="17" t="str">
        <f t="shared" si="74"/>
        <v/>
      </c>
      <c r="CN40" s="17" t="str">
        <f t="shared" si="74"/>
        <v/>
      </c>
      <c r="CO40" s="17" t="str">
        <f t="shared" si="74"/>
        <v/>
      </c>
      <c r="CP40" s="17" t="str">
        <f t="shared" si="74"/>
        <v/>
      </c>
      <c r="CQ40" s="17" t="str">
        <f t="shared" si="74"/>
        <v/>
      </c>
      <c r="CR40" s="17" t="str">
        <f t="shared" si="74"/>
        <v/>
      </c>
      <c r="CS40" s="17" t="str">
        <f t="shared" si="74"/>
        <v/>
      </c>
      <c r="CT40" s="17" t="str">
        <f t="shared" si="74"/>
        <v/>
      </c>
      <c r="CU40" s="17" t="str">
        <f t="shared" si="74"/>
        <v/>
      </c>
      <c r="CV40" s="17" t="str">
        <f t="shared" si="74"/>
        <v/>
      </c>
      <c r="CW40" s="17" t="str">
        <f t="shared" si="75"/>
        <v/>
      </c>
      <c r="CX40" s="17" t="str">
        <f t="shared" si="75"/>
        <v/>
      </c>
      <c r="CY40" s="17" t="str">
        <f t="shared" si="75"/>
        <v/>
      </c>
      <c r="CZ40" s="17" t="str">
        <f t="shared" si="75"/>
        <v/>
      </c>
      <c r="DA40" s="17" t="str">
        <f t="shared" si="75"/>
        <v/>
      </c>
      <c r="DB40" s="17" t="str">
        <f t="shared" si="75"/>
        <v/>
      </c>
      <c r="DC40" s="17" t="str">
        <f t="shared" si="75"/>
        <v/>
      </c>
      <c r="DD40" s="17" t="str">
        <f t="shared" si="75"/>
        <v/>
      </c>
      <c r="DE40" s="17" t="str">
        <f t="shared" si="75"/>
        <v/>
      </c>
      <c r="DF40" s="17" t="str">
        <f t="shared" si="75"/>
        <v/>
      </c>
      <c r="DG40" s="17" t="str">
        <f t="shared" si="76"/>
        <v/>
      </c>
      <c r="DH40" s="17" t="str">
        <f t="shared" si="76"/>
        <v/>
      </c>
      <c r="DI40" s="17" t="str">
        <f t="shared" si="76"/>
        <v/>
      </c>
      <c r="DJ40" s="17" t="str">
        <f t="shared" si="76"/>
        <v/>
      </c>
      <c r="DK40" s="17" t="str">
        <f t="shared" si="76"/>
        <v/>
      </c>
      <c r="DL40" s="17" t="str">
        <f t="shared" si="76"/>
        <v/>
      </c>
      <c r="DM40" s="17" t="str">
        <f t="shared" si="76"/>
        <v/>
      </c>
      <c r="DN40" s="17" t="str">
        <f t="shared" si="76"/>
        <v/>
      </c>
      <c r="DO40" s="17" t="str">
        <f t="shared" si="76"/>
        <v/>
      </c>
      <c r="DP40" s="17" t="str">
        <f t="shared" si="76"/>
        <v/>
      </c>
      <c r="DQ40" s="17" t="str">
        <f t="shared" si="77"/>
        <v/>
      </c>
      <c r="DR40" s="17" t="str">
        <f t="shared" si="77"/>
        <v/>
      </c>
      <c r="DS40" s="17" t="str">
        <f t="shared" si="77"/>
        <v/>
      </c>
      <c r="DT40" s="17" t="str">
        <f t="shared" si="77"/>
        <v/>
      </c>
      <c r="DU40" s="17" t="str">
        <f t="shared" si="77"/>
        <v/>
      </c>
      <c r="DV40" s="17" t="str">
        <f t="shared" si="77"/>
        <v/>
      </c>
      <c r="DW40" s="17" t="str">
        <f t="shared" si="77"/>
        <v/>
      </c>
      <c r="DX40" s="17" t="str">
        <f t="shared" si="77"/>
        <v/>
      </c>
      <c r="DY40" s="17" t="str">
        <f t="shared" si="77"/>
        <v/>
      </c>
      <c r="DZ40" s="17" t="str">
        <f t="shared" si="77"/>
        <v/>
      </c>
      <c r="EA40" s="17" t="str">
        <f t="shared" si="78"/>
        <v/>
      </c>
      <c r="EB40" s="17" t="str">
        <f t="shared" si="78"/>
        <v/>
      </c>
      <c r="EC40" s="17" t="str">
        <f t="shared" si="78"/>
        <v/>
      </c>
      <c r="ED40" s="17" t="str">
        <f t="shared" si="78"/>
        <v/>
      </c>
      <c r="EE40" s="17" t="str">
        <f t="shared" si="78"/>
        <v/>
      </c>
      <c r="EF40" s="17" t="str">
        <f t="shared" si="78"/>
        <v/>
      </c>
      <c r="EG40" s="17" t="str">
        <f t="shared" si="78"/>
        <v/>
      </c>
      <c r="EH40" s="17" t="str">
        <f t="shared" si="78"/>
        <v/>
      </c>
      <c r="EI40" s="17" t="str">
        <f t="shared" si="78"/>
        <v/>
      </c>
      <c r="EJ40" s="17" t="str">
        <f t="shared" si="78"/>
        <v/>
      </c>
      <c r="EK40" s="17" t="str">
        <f t="shared" si="79"/>
        <v/>
      </c>
      <c r="EL40" s="17" t="str">
        <f t="shared" si="79"/>
        <v/>
      </c>
      <c r="EM40" s="17" t="str">
        <f t="shared" si="79"/>
        <v/>
      </c>
      <c r="EN40" s="17" t="str">
        <f t="shared" si="79"/>
        <v/>
      </c>
      <c r="EO40" s="17" t="str">
        <f t="shared" si="79"/>
        <v/>
      </c>
      <c r="EP40" s="17" t="str">
        <f t="shared" si="79"/>
        <v/>
      </c>
      <c r="EQ40" s="17" t="str">
        <f t="shared" si="79"/>
        <v/>
      </c>
      <c r="ER40" s="17" t="str">
        <f t="shared" si="79"/>
        <v/>
      </c>
      <c r="ES40" s="17" t="str">
        <f t="shared" si="79"/>
        <v>R</v>
      </c>
      <c r="ET40" s="17" t="str">
        <f t="shared" si="79"/>
        <v>R</v>
      </c>
      <c r="EU40" s="17" t="str">
        <f t="shared" si="80"/>
        <v>R</v>
      </c>
      <c r="EV40" s="17" t="str">
        <f t="shared" si="80"/>
        <v>R</v>
      </c>
      <c r="EW40" s="17" t="str">
        <f t="shared" si="80"/>
        <v>R</v>
      </c>
      <c r="EX40" s="17" t="str">
        <f t="shared" si="80"/>
        <v>R</v>
      </c>
      <c r="EY40" s="17" t="str">
        <f t="shared" si="80"/>
        <v>R</v>
      </c>
      <c r="EZ40" s="17" t="str">
        <f t="shared" si="80"/>
        <v>R</v>
      </c>
      <c r="FA40" s="17" t="str">
        <f t="shared" si="80"/>
        <v>R</v>
      </c>
      <c r="FB40" s="17" t="str">
        <f t="shared" si="80"/>
        <v>R</v>
      </c>
      <c r="FC40" s="17" t="str">
        <f t="shared" si="80"/>
        <v>R</v>
      </c>
      <c r="FD40" s="17" t="str">
        <f t="shared" si="80"/>
        <v>R</v>
      </c>
      <c r="FE40" s="17" t="str">
        <f t="shared" si="81"/>
        <v>R</v>
      </c>
      <c r="FF40" s="17" t="str">
        <f t="shared" si="81"/>
        <v>R</v>
      </c>
      <c r="FG40" s="17" t="str">
        <f t="shared" si="81"/>
        <v>R</v>
      </c>
      <c r="FH40" s="17" t="str">
        <f t="shared" si="81"/>
        <v>R</v>
      </c>
      <c r="FI40" s="17" t="str">
        <f t="shared" si="81"/>
        <v>P</v>
      </c>
      <c r="FJ40" s="17" t="str">
        <f t="shared" si="81"/>
        <v>P</v>
      </c>
      <c r="FK40" s="17" t="str">
        <f t="shared" si="81"/>
        <v>T</v>
      </c>
      <c r="FL40" s="17" t="str">
        <f t="shared" si="81"/>
        <v>T</v>
      </c>
      <c r="FM40" s="17" t="str">
        <f t="shared" si="81"/>
        <v>T</v>
      </c>
      <c r="FN40" s="17" t="str">
        <f t="shared" si="81"/>
        <v>T</v>
      </c>
      <c r="FO40" s="17" t="str">
        <f t="shared" si="82"/>
        <v/>
      </c>
      <c r="FP40" s="17" t="str">
        <f t="shared" si="82"/>
        <v/>
      </c>
      <c r="FQ40" s="17" t="str">
        <f t="shared" si="82"/>
        <v/>
      </c>
      <c r="FR40" s="17" t="str">
        <f t="shared" si="82"/>
        <v/>
      </c>
      <c r="FS40" s="17" t="str">
        <f t="shared" si="82"/>
        <v/>
      </c>
      <c r="FT40" s="17" t="str">
        <f t="shared" si="82"/>
        <v/>
      </c>
      <c r="FU40" s="17" t="str">
        <f t="shared" si="82"/>
        <v/>
      </c>
      <c r="FV40" s="17" t="str">
        <f t="shared" si="82"/>
        <v/>
      </c>
      <c r="FW40" s="17" t="str">
        <f t="shared" si="82"/>
        <v/>
      </c>
      <c r="FX40" s="17" t="str">
        <f t="shared" si="82"/>
        <v/>
      </c>
      <c r="FY40" s="17" t="str">
        <f t="shared" si="83"/>
        <v/>
      </c>
      <c r="FZ40" s="17" t="str">
        <f t="shared" si="83"/>
        <v/>
      </c>
      <c r="GA40" s="17" t="str">
        <f t="shared" si="83"/>
        <v/>
      </c>
      <c r="GB40" s="17" t="str">
        <f t="shared" si="83"/>
        <v/>
      </c>
      <c r="GC40" s="17" t="str">
        <f t="shared" si="83"/>
        <v/>
      </c>
      <c r="GD40" s="17" t="str">
        <f t="shared" si="83"/>
        <v/>
      </c>
      <c r="GE40" s="17" t="str">
        <f t="shared" si="83"/>
        <v/>
      </c>
      <c r="GF40" s="17" t="str">
        <f t="shared" si="83"/>
        <v/>
      </c>
      <c r="GG40" s="17" t="str">
        <f t="shared" si="83"/>
        <v/>
      </c>
      <c r="GH40" s="17" t="str">
        <f t="shared" si="83"/>
        <v/>
      </c>
      <c r="GI40" s="17" t="str">
        <f t="shared" si="84"/>
        <v/>
      </c>
      <c r="GJ40" s="17" t="str">
        <f t="shared" si="84"/>
        <v/>
      </c>
      <c r="GK40" s="17" t="str">
        <f t="shared" si="84"/>
        <v/>
      </c>
      <c r="GL40" s="17" t="str">
        <f t="shared" si="84"/>
        <v/>
      </c>
      <c r="GM40" s="17" t="str">
        <f t="shared" si="84"/>
        <v/>
      </c>
      <c r="GN40" s="17" t="str">
        <f t="shared" si="84"/>
        <v/>
      </c>
      <c r="GO40" s="17" t="str">
        <f t="shared" si="84"/>
        <v/>
      </c>
      <c r="GP40" s="17" t="str">
        <f t="shared" si="84"/>
        <v/>
      </c>
      <c r="GQ40" s="17" t="str">
        <f t="shared" si="84"/>
        <v/>
      </c>
      <c r="GR40" s="17" t="str">
        <f t="shared" si="84"/>
        <v/>
      </c>
      <c r="GS40" s="17" t="str">
        <f t="shared" si="85"/>
        <v/>
      </c>
      <c r="GT40" s="17" t="str">
        <f t="shared" si="85"/>
        <v/>
      </c>
      <c r="GU40" s="17" t="str">
        <f t="shared" si="85"/>
        <v/>
      </c>
      <c r="GV40" s="17" t="str">
        <f t="shared" si="85"/>
        <v/>
      </c>
      <c r="GW40" s="17" t="str">
        <f t="shared" si="85"/>
        <v/>
      </c>
      <c r="GX40" s="17" t="str">
        <f t="shared" si="85"/>
        <v/>
      </c>
      <c r="GY40" s="17" t="str">
        <f t="shared" si="85"/>
        <v/>
      </c>
      <c r="GZ40" s="17" t="str">
        <f t="shared" si="85"/>
        <v/>
      </c>
      <c r="HA40" s="17" t="str">
        <f t="shared" si="85"/>
        <v/>
      </c>
      <c r="HB40" s="17" t="str">
        <f t="shared" si="85"/>
        <v/>
      </c>
      <c r="HC40" s="17" t="str">
        <f t="shared" si="86"/>
        <v/>
      </c>
      <c r="HD40" s="17" t="str">
        <f t="shared" si="86"/>
        <v/>
      </c>
      <c r="HE40" s="17" t="str">
        <f t="shared" si="86"/>
        <v/>
      </c>
      <c r="HF40" s="17" t="str">
        <f t="shared" si="86"/>
        <v/>
      </c>
      <c r="HG40" s="17" t="str">
        <f t="shared" si="86"/>
        <v/>
      </c>
      <c r="HH40" s="17" t="str">
        <f t="shared" si="86"/>
        <v/>
      </c>
      <c r="HI40" s="17" t="str">
        <f t="shared" si="86"/>
        <v/>
      </c>
      <c r="HJ40" s="17" t="str">
        <f t="shared" si="86"/>
        <v/>
      </c>
      <c r="HK40" s="17" t="str">
        <f t="shared" si="86"/>
        <v/>
      </c>
      <c r="HL40" s="17" t="str">
        <f t="shared" si="86"/>
        <v/>
      </c>
      <c r="HM40" s="17" t="str">
        <f t="shared" si="87"/>
        <v/>
      </c>
      <c r="HN40" s="17" t="str">
        <f t="shared" si="87"/>
        <v/>
      </c>
      <c r="HO40" s="17" t="str">
        <f t="shared" si="87"/>
        <v/>
      </c>
      <c r="HP40" s="17" t="str">
        <f t="shared" si="87"/>
        <v/>
      </c>
      <c r="HQ40" s="17" t="str">
        <f t="shared" si="87"/>
        <v/>
      </c>
      <c r="HR40" s="17" t="str">
        <f t="shared" si="87"/>
        <v/>
      </c>
      <c r="HS40" s="17" t="str">
        <f t="shared" si="87"/>
        <v/>
      </c>
      <c r="HT40" s="17" t="str">
        <f t="shared" si="87"/>
        <v/>
      </c>
      <c r="HU40" s="17" t="str">
        <f t="shared" si="87"/>
        <v/>
      </c>
      <c r="HV40" s="17" t="str">
        <f t="shared" si="87"/>
        <v/>
      </c>
      <c r="HW40" s="17" t="str">
        <f t="shared" si="87"/>
        <v/>
      </c>
      <c r="HX40" s="17" t="str">
        <f t="shared" si="87"/>
        <v/>
      </c>
      <c r="HY40" s="17" t="str">
        <f t="shared" si="87"/>
        <v/>
      </c>
      <c r="HZ40" s="17" t="str">
        <f t="shared" si="87"/>
        <v/>
      </c>
      <c r="IA40" s="17" t="str">
        <f t="shared" si="87"/>
        <v/>
      </c>
    </row>
    <row r="41" spans="1:235" ht="25.95" customHeight="1" x14ac:dyDescent="0.3">
      <c r="A41" s="7">
        <v>36</v>
      </c>
      <c r="B41" s="7">
        <f>Premissas!$B$6</f>
        <v>6</v>
      </c>
      <c r="C41" s="7">
        <f>35*Premissas!$B$8</f>
        <v>424.24242424242431</v>
      </c>
      <c r="D41" s="7">
        <f>C41+Premissas!$B$9</f>
        <v>472.24242424242431</v>
      </c>
      <c r="E41" s="7">
        <f>C41+Premissas!$B$11</f>
        <v>478.24242424242431</v>
      </c>
      <c r="F41" s="7">
        <f>E41+Premissas!$B$8</f>
        <v>490.36363636363643</v>
      </c>
      <c r="G41" s="7">
        <f>Premissas!$B$11</f>
        <v>54</v>
      </c>
      <c r="H41" s="7">
        <f>Premissas!$B$12</f>
        <v>3</v>
      </c>
      <c r="I41" s="7" t="s">
        <v>47</v>
      </c>
      <c r="J41" s="8" t="s">
        <v>48</v>
      </c>
      <c r="K41" s="17" t="str">
        <f t="shared" si="66"/>
        <v/>
      </c>
      <c r="L41" s="17" t="str">
        <f t="shared" si="66"/>
        <v/>
      </c>
      <c r="M41" s="17" t="str">
        <f t="shared" si="66"/>
        <v/>
      </c>
      <c r="N41" s="17" t="str">
        <f t="shared" si="66"/>
        <v/>
      </c>
      <c r="O41" s="17" t="str">
        <f t="shared" si="66"/>
        <v/>
      </c>
      <c r="P41" s="17" t="str">
        <f t="shared" si="66"/>
        <v/>
      </c>
      <c r="Q41" s="17" t="str">
        <f t="shared" si="66"/>
        <v/>
      </c>
      <c r="R41" s="17" t="str">
        <f t="shared" si="66"/>
        <v/>
      </c>
      <c r="S41" s="17" t="str">
        <f t="shared" si="66"/>
        <v/>
      </c>
      <c r="T41" s="17" t="str">
        <f t="shared" si="66"/>
        <v/>
      </c>
      <c r="U41" s="17" t="str">
        <f t="shared" si="67"/>
        <v/>
      </c>
      <c r="V41" s="17" t="str">
        <f t="shared" si="67"/>
        <v/>
      </c>
      <c r="W41" s="17" t="str">
        <f t="shared" si="67"/>
        <v/>
      </c>
      <c r="X41" s="17" t="str">
        <f t="shared" si="67"/>
        <v/>
      </c>
      <c r="Y41" s="17" t="str">
        <f t="shared" si="67"/>
        <v/>
      </c>
      <c r="Z41" s="17" t="str">
        <f t="shared" si="67"/>
        <v/>
      </c>
      <c r="AA41" s="17" t="str">
        <f t="shared" si="67"/>
        <v/>
      </c>
      <c r="AB41" s="17" t="str">
        <f t="shared" si="67"/>
        <v/>
      </c>
      <c r="AC41" s="17" t="str">
        <f t="shared" si="67"/>
        <v/>
      </c>
      <c r="AD41" s="17" t="str">
        <f t="shared" si="67"/>
        <v/>
      </c>
      <c r="AE41" s="17" t="str">
        <f t="shared" si="68"/>
        <v/>
      </c>
      <c r="AF41" s="17" t="str">
        <f t="shared" si="68"/>
        <v/>
      </c>
      <c r="AG41" s="17" t="str">
        <f t="shared" si="68"/>
        <v/>
      </c>
      <c r="AH41" s="17" t="str">
        <f t="shared" si="68"/>
        <v/>
      </c>
      <c r="AI41" s="17" t="str">
        <f t="shared" si="68"/>
        <v/>
      </c>
      <c r="AJ41" s="17" t="str">
        <f t="shared" si="68"/>
        <v/>
      </c>
      <c r="AK41" s="17" t="str">
        <f t="shared" si="68"/>
        <v/>
      </c>
      <c r="AL41" s="17" t="str">
        <f t="shared" si="68"/>
        <v/>
      </c>
      <c r="AM41" s="17" t="str">
        <f t="shared" si="68"/>
        <v/>
      </c>
      <c r="AN41" s="17" t="str">
        <f t="shared" si="68"/>
        <v/>
      </c>
      <c r="AO41" s="17" t="str">
        <f t="shared" si="69"/>
        <v/>
      </c>
      <c r="AP41" s="17" t="str">
        <f t="shared" si="69"/>
        <v/>
      </c>
      <c r="AQ41" s="17" t="str">
        <f t="shared" si="69"/>
        <v/>
      </c>
      <c r="AR41" s="17" t="str">
        <f t="shared" si="69"/>
        <v/>
      </c>
      <c r="AS41" s="17" t="str">
        <f t="shared" si="69"/>
        <v/>
      </c>
      <c r="AT41" s="17" t="str">
        <f t="shared" si="69"/>
        <v/>
      </c>
      <c r="AU41" s="17" t="str">
        <f t="shared" si="69"/>
        <v/>
      </c>
      <c r="AV41" s="17" t="str">
        <f t="shared" si="69"/>
        <v/>
      </c>
      <c r="AW41" s="17" t="str">
        <f t="shared" si="69"/>
        <v/>
      </c>
      <c r="AX41" s="17" t="str">
        <f t="shared" si="69"/>
        <v/>
      </c>
      <c r="AY41" s="17" t="str">
        <f t="shared" si="70"/>
        <v/>
      </c>
      <c r="AZ41" s="17" t="str">
        <f t="shared" si="70"/>
        <v/>
      </c>
      <c r="BA41" s="17" t="str">
        <f t="shared" si="70"/>
        <v/>
      </c>
      <c r="BB41" s="17" t="str">
        <f t="shared" si="70"/>
        <v/>
      </c>
      <c r="BC41" s="17" t="str">
        <f t="shared" si="70"/>
        <v/>
      </c>
      <c r="BD41" s="17" t="str">
        <f t="shared" si="70"/>
        <v/>
      </c>
      <c r="BE41" s="17" t="str">
        <f t="shared" si="70"/>
        <v/>
      </c>
      <c r="BF41" s="17" t="str">
        <f t="shared" si="70"/>
        <v/>
      </c>
      <c r="BG41" s="17" t="str">
        <f t="shared" si="70"/>
        <v/>
      </c>
      <c r="BH41" s="17" t="str">
        <f t="shared" si="70"/>
        <v/>
      </c>
      <c r="BI41" s="17" t="str">
        <f t="shared" si="71"/>
        <v/>
      </c>
      <c r="BJ41" s="17" t="str">
        <f t="shared" si="71"/>
        <v/>
      </c>
      <c r="BK41" s="17" t="str">
        <f t="shared" si="71"/>
        <v/>
      </c>
      <c r="BL41" s="17" t="str">
        <f t="shared" si="71"/>
        <v/>
      </c>
      <c r="BM41" s="17" t="str">
        <f t="shared" si="71"/>
        <v/>
      </c>
      <c r="BN41" s="17" t="str">
        <f t="shared" si="71"/>
        <v/>
      </c>
      <c r="BO41" s="17" t="str">
        <f t="shared" si="71"/>
        <v/>
      </c>
      <c r="BP41" s="17" t="str">
        <f t="shared" si="71"/>
        <v/>
      </c>
      <c r="BQ41" s="17" t="str">
        <f t="shared" si="71"/>
        <v/>
      </c>
      <c r="BR41" s="17" t="str">
        <f t="shared" si="71"/>
        <v/>
      </c>
      <c r="BS41" s="17" t="str">
        <f t="shared" si="72"/>
        <v/>
      </c>
      <c r="BT41" s="17" t="str">
        <f t="shared" si="72"/>
        <v/>
      </c>
      <c r="BU41" s="17" t="str">
        <f t="shared" si="72"/>
        <v/>
      </c>
      <c r="BV41" s="17" t="str">
        <f t="shared" si="72"/>
        <v/>
      </c>
      <c r="BW41" s="17" t="str">
        <f t="shared" si="72"/>
        <v/>
      </c>
      <c r="BX41" s="17" t="str">
        <f t="shared" si="72"/>
        <v/>
      </c>
      <c r="BY41" s="17" t="str">
        <f t="shared" si="72"/>
        <v/>
      </c>
      <c r="BZ41" s="17" t="str">
        <f t="shared" si="72"/>
        <v/>
      </c>
      <c r="CA41" s="17" t="str">
        <f t="shared" si="72"/>
        <v/>
      </c>
      <c r="CB41" s="17" t="str">
        <f t="shared" si="72"/>
        <v/>
      </c>
      <c r="CC41" s="17" t="str">
        <f t="shared" si="73"/>
        <v/>
      </c>
      <c r="CD41" s="17" t="str">
        <f t="shared" si="73"/>
        <v/>
      </c>
      <c r="CE41" s="17" t="str">
        <f t="shared" si="73"/>
        <v/>
      </c>
      <c r="CF41" s="17" t="str">
        <f t="shared" si="73"/>
        <v/>
      </c>
      <c r="CG41" s="17" t="str">
        <f t="shared" si="73"/>
        <v/>
      </c>
      <c r="CH41" s="17" t="str">
        <f t="shared" si="73"/>
        <v/>
      </c>
      <c r="CI41" s="17" t="str">
        <f t="shared" si="73"/>
        <v/>
      </c>
      <c r="CJ41" s="17" t="str">
        <f t="shared" si="73"/>
        <v/>
      </c>
      <c r="CK41" s="17" t="str">
        <f t="shared" si="73"/>
        <v/>
      </c>
      <c r="CL41" s="17" t="str">
        <f t="shared" si="73"/>
        <v/>
      </c>
      <c r="CM41" s="17" t="str">
        <f t="shared" si="74"/>
        <v/>
      </c>
      <c r="CN41" s="17" t="str">
        <f t="shared" si="74"/>
        <v/>
      </c>
      <c r="CO41" s="17" t="str">
        <f t="shared" si="74"/>
        <v/>
      </c>
      <c r="CP41" s="17" t="str">
        <f t="shared" si="74"/>
        <v/>
      </c>
      <c r="CQ41" s="17" t="str">
        <f t="shared" si="74"/>
        <v/>
      </c>
      <c r="CR41" s="17" t="str">
        <f t="shared" si="74"/>
        <v/>
      </c>
      <c r="CS41" s="17" t="str">
        <f t="shared" si="74"/>
        <v/>
      </c>
      <c r="CT41" s="17" t="str">
        <f t="shared" si="74"/>
        <v/>
      </c>
      <c r="CU41" s="17" t="str">
        <f t="shared" si="74"/>
        <v/>
      </c>
      <c r="CV41" s="17" t="str">
        <f t="shared" si="74"/>
        <v/>
      </c>
      <c r="CW41" s="17" t="str">
        <f t="shared" si="75"/>
        <v/>
      </c>
      <c r="CX41" s="17" t="str">
        <f t="shared" si="75"/>
        <v/>
      </c>
      <c r="CY41" s="17" t="str">
        <f t="shared" si="75"/>
        <v/>
      </c>
      <c r="CZ41" s="17" t="str">
        <f t="shared" si="75"/>
        <v/>
      </c>
      <c r="DA41" s="17" t="str">
        <f t="shared" si="75"/>
        <v/>
      </c>
      <c r="DB41" s="17" t="str">
        <f t="shared" si="75"/>
        <v/>
      </c>
      <c r="DC41" s="17" t="str">
        <f t="shared" si="75"/>
        <v/>
      </c>
      <c r="DD41" s="17" t="str">
        <f t="shared" si="75"/>
        <v/>
      </c>
      <c r="DE41" s="17" t="str">
        <f t="shared" si="75"/>
        <v/>
      </c>
      <c r="DF41" s="17" t="str">
        <f t="shared" si="75"/>
        <v/>
      </c>
      <c r="DG41" s="17" t="str">
        <f t="shared" si="76"/>
        <v/>
      </c>
      <c r="DH41" s="17" t="str">
        <f t="shared" si="76"/>
        <v/>
      </c>
      <c r="DI41" s="17" t="str">
        <f t="shared" si="76"/>
        <v/>
      </c>
      <c r="DJ41" s="17" t="str">
        <f t="shared" si="76"/>
        <v/>
      </c>
      <c r="DK41" s="17" t="str">
        <f t="shared" si="76"/>
        <v/>
      </c>
      <c r="DL41" s="17" t="str">
        <f t="shared" si="76"/>
        <v/>
      </c>
      <c r="DM41" s="17" t="str">
        <f t="shared" si="76"/>
        <v/>
      </c>
      <c r="DN41" s="17" t="str">
        <f t="shared" si="76"/>
        <v/>
      </c>
      <c r="DO41" s="17" t="str">
        <f t="shared" si="76"/>
        <v/>
      </c>
      <c r="DP41" s="17" t="str">
        <f t="shared" si="76"/>
        <v/>
      </c>
      <c r="DQ41" s="17" t="str">
        <f t="shared" si="77"/>
        <v/>
      </c>
      <c r="DR41" s="17" t="str">
        <f t="shared" si="77"/>
        <v/>
      </c>
      <c r="DS41" s="17" t="str">
        <f t="shared" si="77"/>
        <v/>
      </c>
      <c r="DT41" s="17" t="str">
        <f t="shared" si="77"/>
        <v/>
      </c>
      <c r="DU41" s="17" t="str">
        <f t="shared" si="77"/>
        <v/>
      </c>
      <c r="DV41" s="17" t="str">
        <f t="shared" si="77"/>
        <v/>
      </c>
      <c r="DW41" s="17" t="str">
        <f t="shared" si="77"/>
        <v/>
      </c>
      <c r="DX41" s="17" t="str">
        <f t="shared" si="77"/>
        <v/>
      </c>
      <c r="DY41" s="17" t="str">
        <f t="shared" si="77"/>
        <v/>
      </c>
      <c r="DZ41" s="17" t="str">
        <f t="shared" si="77"/>
        <v/>
      </c>
      <c r="EA41" s="17" t="str">
        <f t="shared" si="78"/>
        <v/>
      </c>
      <c r="EB41" s="17" t="str">
        <f t="shared" si="78"/>
        <v/>
      </c>
      <c r="EC41" s="17" t="str">
        <f t="shared" si="78"/>
        <v/>
      </c>
      <c r="ED41" s="17" t="str">
        <f t="shared" si="78"/>
        <v/>
      </c>
      <c r="EE41" s="17" t="str">
        <f t="shared" si="78"/>
        <v/>
      </c>
      <c r="EF41" s="17" t="str">
        <f t="shared" si="78"/>
        <v/>
      </c>
      <c r="EG41" s="17" t="str">
        <f t="shared" si="78"/>
        <v/>
      </c>
      <c r="EH41" s="17" t="str">
        <f t="shared" si="78"/>
        <v/>
      </c>
      <c r="EI41" s="17" t="str">
        <f t="shared" si="78"/>
        <v/>
      </c>
      <c r="EJ41" s="17" t="str">
        <f t="shared" si="78"/>
        <v/>
      </c>
      <c r="EK41" s="17" t="str">
        <f t="shared" si="79"/>
        <v/>
      </c>
      <c r="EL41" s="17" t="str">
        <f t="shared" si="79"/>
        <v/>
      </c>
      <c r="EM41" s="17" t="str">
        <f t="shared" si="79"/>
        <v/>
      </c>
      <c r="EN41" s="17" t="str">
        <f t="shared" si="79"/>
        <v/>
      </c>
      <c r="EO41" s="17" t="str">
        <f t="shared" si="79"/>
        <v/>
      </c>
      <c r="EP41" s="17" t="str">
        <f t="shared" si="79"/>
        <v/>
      </c>
      <c r="EQ41" s="17" t="str">
        <f t="shared" si="79"/>
        <v/>
      </c>
      <c r="ER41" s="17" t="str">
        <f t="shared" si="79"/>
        <v/>
      </c>
      <c r="ES41" s="17" t="str">
        <f t="shared" si="79"/>
        <v/>
      </c>
      <c r="ET41" s="17" t="str">
        <f t="shared" si="79"/>
        <v/>
      </c>
      <c r="EU41" s="17" t="str">
        <f t="shared" si="80"/>
        <v/>
      </c>
      <c r="EV41" s="17" t="str">
        <f t="shared" si="80"/>
        <v/>
      </c>
      <c r="EW41" s="17" t="str">
        <f t="shared" si="80"/>
        <v>R</v>
      </c>
      <c r="EX41" s="17" t="str">
        <f t="shared" si="80"/>
        <v>R</v>
      </c>
      <c r="EY41" s="17" t="str">
        <f t="shared" si="80"/>
        <v>R</v>
      </c>
      <c r="EZ41" s="17" t="str">
        <f t="shared" si="80"/>
        <v>R</v>
      </c>
      <c r="FA41" s="17" t="str">
        <f t="shared" si="80"/>
        <v>R</v>
      </c>
      <c r="FB41" s="17" t="str">
        <f t="shared" si="80"/>
        <v>R</v>
      </c>
      <c r="FC41" s="17" t="str">
        <f t="shared" si="80"/>
        <v>R</v>
      </c>
      <c r="FD41" s="17" t="str">
        <f t="shared" si="80"/>
        <v>R</v>
      </c>
      <c r="FE41" s="17" t="str">
        <f t="shared" si="81"/>
        <v>R</v>
      </c>
      <c r="FF41" s="17" t="str">
        <f t="shared" si="81"/>
        <v>R</v>
      </c>
      <c r="FG41" s="17" t="str">
        <f t="shared" si="81"/>
        <v>R</v>
      </c>
      <c r="FH41" s="17" t="str">
        <f t="shared" si="81"/>
        <v>R</v>
      </c>
      <c r="FI41" s="17" t="str">
        <f t="shared" si="81"/>
        <v>R</v>
      </c>
      <c r="FJ41" s="17" t="str">
        <f t="shared" si="81"/>
        <v>R</v>
      </c>
      <c r="FK41" s="17" t="str">
        <f t="shared" si="81"/>
        <v>R</v>
      </c>
      <c r="FL41" s="17" t="str">
        <f t="shared" si="81"/>
        <v>R</v>
      </c>
      <c r="FM41" s="17" t="str">
        <f t="shared" si="81"/>
        <v>P</v>
      </c>
      <c r="FN41" s="17" t="str">
        <f t="shared" si="81"/>
        <v>P</v>
      </c>
      <c r="FO41" s="17" t="str">
        <f t="shared" si="82"/>
        <v>T</v>
      </c>
      <c r="FP41" s="17" t="str">
        <f t="shared" si="82"/>
        <v>T</v>
      </c>
      <c r="FQ41" s="17" t="str">
        <f t="shared" si="82"/>
        <v>T</v>
      </c>
      <c r="FR41" s="17" t="str">
        <f t="shared" si="82"/>
        <v>T</v>
      </c>
      <c r="FS41" s="17" t="str">
        <f t="shared" si="82"/>
        <v/>
      </c>
      <c r="FT41" s="17" t="str">
        <f t="shared" si="82"/>
        <v/>
      </c>
      <c r="FU41" s="17" t="str">
        <f t="shared" si="82"/>
        <v/>
      </c>
      <c r="FV41" s="17" t="str">
        <f t="shared" si="82"/>
        <v/>
      </c>
      <c r="FW41" s="17" t="str">
        <f t="shared" si="82"/>
        <v/>
      </c>
      <c r="FX41" s="17" t="str">
        <f t="shared" si="82"/>
        <v/>
      </c>
      <c r="FY41" s="17" t="str">
        <f t="shared" si="83"/>
        <v/>
      </c>
      <c r="FZ41" s="17" t="str">
        <f t="shared" si="83"/>
        <v/>
      </c>
      <c r="GA41" s="17" t="str">
        <f t="shared" si="83"/>
        <v/>
      </c>
      <c r="GB41" s="17" t="str">
        <f t="shared" si="83"/>
        <v/>
      </c>
      <c r="GC41" s="17" t="str">
        <f t="shared" si="83"/>
        <v/>
      </c>
      <c r="GD41" s="17" t="str">
        <f t="shared" si="83"/>
        <v/>
      </c>
      <c r="GE41" s="17" t="str">
        <f t="shared" si="83"/>
        <v/>
      </c>
      <c r="GF41" s="17" t="str">
        <f t="shared" si="83"/>
        <v/>
      </c>
      <c r="GG41" s="17" t="str">
        <f t="shared" si="83"/>
        <v/>
      </c>
      <c r="GH41" s="17" t="str">
        <f t="shared" si="83"/>
        <v/>
      </c>
      <c r="GI41" s="17" t="str">
        <f t="shared" si="84"/>
        <v/>
      </c>
      <c r="GJ41" s="17" t="str">
        <f t="shared" si="84"/>
        <v/>
      </c>
      <c r="GK41" s="17" t="str">
        <f t="shared" si="84"/>
        <v/>
      </c>
      <c r="GL41" s="17" t="str">
        <f t="shared" si="84"/>
        <v/>
      </c>
      <c r="GM41" s="17" t="str">
        <f t="shared" si="84"/>
        <v/>
      </c>
      <c r="GN41" s="17" t="str">
        <f t="shared" si="84"/>
        <v/>
      </c>
      <c r="GO41" s="17" t="str">
        <f t="shared" si="84"/>
        <v/>
      </c>
      <c r="GP41" s="17" t="str">
        <f t="shared" si="84"/>
        <v/>
      </c>
      <c r="GQ41" s="17" t="str">
        <f t="shared" si="84"/>
        <v/>
      </c>
      <c r="GR41" s="17" t="str">
        <f t="shared" si="84"/>
        <v/>
      </c>
      <c r="GS41" s="17" t="str">
        <f t="shared" si="85"/>
        <v/>
      </c>
      <c r="GT41" s="17" t="str">
        <f t="shared" si="85"/>
        <v/>
      </c>
      <c r="GU41" s="17" t="str">
        <f t="shared" si="85"/>
        <v/>
      </c>
      <c r="GV41" s="17" t="str">
        <f t="shared" si="85"/>
        <v/>
      </c>
      <c r="GW41" s="17" t="str">
        <f t="shared" si="85"/>
        <v/>
      </c>
      <c r="GX41" s="17" t="str">
        <f t="shared" si="85"/>
        <v/>
      </c>
      <c r="GY41" s="17" t="str">
        <f t="shared" si="85"/>
        <v/>
      </c>
      <c r="GZ41" s="17" t="str">
        <f t="shared" si="85"/>
        <v/>
      </c>
      <c r="HA41" s="17" t="str">
        <f t="shared" si="85"/>
        <v/>
      </c>
      <c r="HB41" s="17" t="str">
        <f t="shared" si="85"/>
        <v/>
      </c>
      <c r="HC41" s="17" t="str">
        <f t="shared" si="86"/>
        <v/>
      </c>
      <c r="HD41" s="17" t="str">
        <f t="shared" si="86"/>
        <v/>
      </c>
      <c r="HE41" s="17" t="str">
        <f t="shared" si="86"/>
        <v/>
      </c>
      <c r="HF41" s="17" t="str">
        <f t="shared" si="86"/>
        <v/>
      </c>
      <c r="HG41" s="17" t="str">
        <f t="shared" si="86"/>
        <v/>
      </c>
      <c r="HH41" s="17" t="str">
        <f t="shared" si="86"/>
        <v/>
      </c>
      <c r="HI41" s="17" t="str">
        <f t="shared" si="86"/>
        <v/>
      </c>
      <c r="HJ41" s="17" t="str">
        <f t="shared" si="86"/>
        <v/>
      </c>
      <c r="HK41" s="17" t="str">
        <f t="shared" si="86"/>
        <v/>
      </c>
      <c r="HL41" s="17" t="str">
        <f t="shared" si="86"/>
        <v/>
      </c>
      <c r="HM41" s="17" t="str">
        <f t="shared" si="87"/>
        <v/>
      </c>
      <c r="HN41" s="17" t="str">
        <f t="shared" si="87"/>
        <v/>
      </c>
      <c r="HO41" s="17" t="str">
        <f t="shared" si="87"/>
        <v/>
      </c>
      <c r="HP41" s="17" t="str">
        <f t="shared" si="87"/>
        <v/>
      </c>
      <c r="HQ41" s="17" t="str">
        <f t="shared" si="87"/>
        <v/>
      </c>
      <c r="HR41" s="17" t="str">
        <f t="shared" si="87"/>
        <v/>
      </c>
      <c r="HS41" s="17" t="str">
        <f t="shared" si="87"/>
        <v/>
      </c>
      <c r="HT41" s="17" t="str">
        <f t="shared" si="87"/>
        <v/>
      </c>
      <c r="HU41" s="17" t="str">
        <f t="shared" si="87"/>
        <v/>
      </c>
      <c r="HV41" s="17" t="str">
        <f t="shared" si="87"/>
        <v/>
      </c>
      <c r="HW41" s="17" t="str">
        <f t="shared" si="87"/>
        <v/>
      </c>
      <c r="HX41" s="17" t="str">
        <f t="shared" si="87"/>
        <v/>
      </c>
      <c r="HY41" s="17" t="str">
        <f t="shared" si="87"/>
        <v/>
      </c>
      <c r="HZ41" s="17" t="str">
        <f t="shared" si="87"/>
        <v/>
      </c>
      <c r="IA41" s="17" t="str">
        <f t="shared" si="87"/>
        <v/>
      </c>
    </row>
    <row r="42" spans="1:235" ht="25.95" customHeight="1" x14ac:dyDescent="0.3">
      <c r="A42" s="7">
        <v>37</v>
      </c>
      <c r="B42" s="7">
        <f>Premissas!$B$6</f>
        <v>6</v>
      </c>
      <c r="C42" s="7">
        <f>36*Premissas!$B$8</f>
        <v>436.36363636363643</v>
      </c>
      <c r="D42" s="7">
        <f>C42+Premissas!$B$9</f>
        <v>484.36363636363643</v>
      </c>
      <c r="E42" s="7">
        <f>C42+Premissas!$B$11</f>
        <v>490.36363636363643</v>
      </c>
      <c r="F42" s="7">
        <f>E42+Premissas!$B$8</f>
        <v>502.48484848484856</v>
      </c>
      <c r="G42" s="7">
        <f>Premissas!$B$11</f>
        <v>54</v>
      </c>
      <c r="H42" s="7">
        <f>Premissas!$B$12</f>
        <v>3</v>
      </c>
      <c r="I42" s="7" t="s">
        <v>47</v>
      </c>
      <c r="J42" s="8" t="s">
        <v>48</v>
      </c>
      <c r="K42" s="17" t="str">
        <f t="shared" si="66"/>
        <v/>
      </c>
      <c r="L42" s="17" t="str">
        <f t="shared" si="66"/>
        <v/>
      </c>
      <c r="M42" s="17" t="str">
        <f t="shared" si="66"/>
        <v/>
      </c>
      <c r="N42" s="17" t="str">
        <f t="shared" si="66"/>
        <v/>
      </c>
      <c r="O42" s="17" t="str">
        <f t="shared" si="66"/>
        <v/>
      </c>
      <c r="P42" s="17" t="str">
        <f t="shared" si="66"/>
        <v/>
      </c>
      <c r="Q42" s="17" t="str">
        <f t="shared" si="66"/>
        <v/>
      </c>
      <c r="R42" s="17" t="str">
        <f t="shared" si="66"/>
        <v/>
      </c>
      <c r="S42" s="17" t="str">
        <f t="shared" si="66"/>
        <v/>
      </c>
      <c r="T42" s="17" t="str">
        <f t="shared" si="66"/>
        <v/>
      </c>
      <c r="U42" s="17" t="str">
        <f t="shared" si="67"/>
        <v/>
      </c>
      <c r="V42" s="17" t="str">
        <f t="shared" si="67"/>
        <v/>
      </c>
      <c r="W42" s="17" t="str">
        <f t="shared" si="67"/>
        <v/>
      </c>
      <c r="X42" s="17" t="str">
        <f t="shared" si="67"/>
        <v/>
      </c>
      <c r="Y42" s="17" t="str">
        <f t="shared" si="67"/>
        <v/>
      </c>
      <c r="Z42" s="17" t="str">
        <f t="shared" si="67"/>
        <v/>
      </c>
      <c r="AA42" s="17" t="str">
        <f t="shared" si="67"/>
        <v/>
      </c>
      <c r="AB42" s="17" t="str">
        <f t="shared" si="67"/>
        <v/>
      </c>
      <c r="AC42" s="17" t="str">
        <f t="shared" si="67"/>
        <v/>
      </c>
      <c r="AD42" s="17" t="str">
        <f t="shared" si="67"/>
        <v/>
      </c>
      <c r="AE42" s="17" t="str">
        <f t="shared" si="68"/>
        <v/>
      </c>
      <c r="AF42" s="17" t="str">
        <f t="shared" si="68"/>
        <v/>
      </c>
      <c r="AG42" s="17" t="str">
        <f t="shared" si="68"/>
        <v/>
      </c>
      <c r="AH42" s="17" t="str">
        <f t="shared" si="68"/>
        <v/>
      </c>
      <c r="AI42" s="17" t="str">
        <f t="shared" si="68"/>
        <v/>
      </c>
      <c r="AJ42" s="17" t="str">
        <f t="shared" si="68"/>
        <v/>
      </c>
      <c r="AK42" s="17" t="str">
        <f t="shared" si="68"/>
        <v/>
      </c>
      <c r="AL42" s="17" t="str">
        <f t="shared" si="68"/>
        <v/>
      </c>
      <c r="AM42" s="17" t="str">
        <f t="shared" si="68"/>
        <v/>
      </c>
      <c r="AN42" s="17" t="str">
        <f t="shared" si="68"/>
        <v/>
      </c>
      <c r="AO42" s="17" t="str">
        <f t="shared" si="69"/>
        <v/>
      </c>
      <c r="AP42" s="17" t="str">
        <f t="shared" si="69"/>
        <v/>
      </c>
      <c r="AQ42" s="17" t="str">
        <f t="shared" si="69"/>
        <v/>
      </c>
      <c r="AR42" s="17" t="str">
        <f t="shared" si="69"/>
        <v/>
      </c>
      <c r="AS42" s="17" t="str">
        <f t="shared" si="69"/>
        <v/>
      </c>
      <c r="AT42" s="17" t="str">
        <f t="shared" si="69"/>
        <v/>
      </c>
      <c r="AU42" s="17" t="str">
        <f t="shared" si="69"/>
        <v/>
      </c>
      <c r="AV42" s="17" t="str">
        <f t="shared" si="69"/>
        <v/>
      </c>
      <c r="AW42" s="17" t="str">
        <f t="shared" si="69"/>
        <v/>
      </c>
      <c r="AX42" s="17" t="str">
        <f t="shared" si="69"/>
        <v/>
      </c>
      <c r="AY42" s="17" t="str">
        <f t="shared" si="70"/>
        <v/>
      </c>
      <c r="AZ42" s="17" t="str">
        <f t="shared" si="70"/>
        <v/>
      </c>
      <c r="BA42" s="17" t="str">
        <f t="shared" si="70"/>
        <v/>
      </c>
      <c r="BB42" s="17" t="str">
        <f t="shared" si="70"/>
        <v/>
      </c>
      <c r="BC42" s="17" t="str">
        <f t="shared" si="70"/>
        <v/>
      </c>
      <c r="BD42" s="17" t="str">
        <f t="shared" si="70"/>
        <v/>
      </c>
      <c r="BE42" s="17" t="str">
        <f t="shared" si="70"/>
        <v/>
      </c>
      <c r="BF42" s="17" t="str">
        <f t="shared" si="70"/>
        <v/>
      </c>
      <c r="BG42" s="17" t="str">
        <f t="shared" si="70"/>
        <v/>
      </c>
      <c r="BH42" s="17" t="str">
        <f t="shared" si="70"/>
        <v/>
      </c>
      <c r="BI42" s="17" t="str">
        <f t="shared" si="71"/>
        <v/>
      </c>
      <c r="BJ42" s="17" t="str">
        <f t="shared" si="71"/>
        <v/>
      </c>
      <c r="BK42" s="17" t="str">
        <f t="shared" si="71"/>
        <v/>
      </c>
      <c r="BL42" s="17" t="str">
        <f t="shared" si="71"/>
        <v/>
      </c>
      <c r="BM42" s="17" t="str">
        <f t="shared" si="71"/>
        <v/>
      </c>
      <c r="BN42" s="17" t="str">
        <f t="shared" si="71"/>
        <v/>
      </c>
      <c r="BO42" s="17" t="str">
        <f t="shared" si="71"/>
        <v/>
      </c>
      <c r="BP42" s="17" t="str">
        <f t="shared" si="71"/>
        <v/>
      </c>
      <c r="BQ42" s="17" t="str">
        <f t="shared" si="71"/>
        <v/>
      </c>
      <c r="BR42" s="17" t="str">
        <f t="shared" si="71"/>
        <v/>
      </c>
      <c r="BS42" s="17" t="str">
        <f t="shared" si="72"/>
        <v/>
      </c>
      <c r="BT42" s="17" t="str">
        <f t="shared" si="72"/>
        <v/>
      </c>
      <c r="BU42" s="17" t="str">
        <f t="shared" si="72"/>
        <v/>
      </c>
      <c r="BV42" s="17" t="str">
        <f t="shared" si="72"/>
        <v/>
      </c>
      <c r="BW42" s="17" t="str">
        <f t="shared" si="72"/>
        <v/>
      </c>
      <c r="BX42" s="17" t="str">
        <f t="shared" si="72"/>
        <v/>
      </c>
      <c r="BY42" s="17" t="str">
        <f t="shared" si="72"/>
        <v/>
      </c>
      <c r="BZ42" s="17" t="str">
        <f t="shared" si="72"/>
        <v/>
      </c>
      <c r="CA42" s="17" t="str">
        <f t="shared" si="72"/>
        <v/>
      </c>
      <c r="CB42" s="17" t="str">
        <f t="shared" si="72"/>
        <v/>
      </c>
      <c r="CC42" s="17" t="str">
        <f t="shared" si="73"/>
        <v/>
      </c>
      <c r="CD42" s="17" t="str">
        <f t="shared" si="73"/>
        <v/>
      </c>
      <c r="CE42" s="17" t="str">
        <f t="shared" si="73"/>
        <v/>
      </c>
      <c r="CF42" s="17" t="str">
        <f t="shared" si="73"/>
        <v/>
      </c>
      <c r="CG42" s="17" t="str">
        <f t="shared" si="73"/>
        <v/>
      </c>
      <c r="CH42" s="17" t="str">
        <f t="shared" si="73"/>
        <v/>
      </c>
      <c r="CI42" s="17" t="str">
        <f t="shared" si="73"/>
        <v/>
      </c>
      <c r="CJ42" s="17" t="str">
        <f t="shared" si="73"/>
        <v/>
      </c>
      <c r="CK42" s="17" t="str">
        <f t="shared" si="73"/>
        <v/>
      </c>
      <c r="CL42" s="17" t="str">
        <f t="shared" si="73"/>
        <v/>
      </c>
      <c r="CM42" s="17" t="str">
        <f t="shared" si="74"/>
        <v/>
      </c>
      <c r="CN42" s="17" t="str">
        <f t="shared" si="74"/>
        <v/>
      </c>
      <c r="CO42" s="17" t="str">
        <f t="shared" si="74"/>
        <v/>
      </c>
      <c r="CP42" s="17" t="str">
        <f t="shared" si="74"/>
        <v/>
      </c>
      <c r="CQ42" s="17" t="str">
        <f t="shared" si="74"/>
        <v/>
      </c>
      <c r="CR42" s="17" t="str">
        <f t="shared" si="74"/>
        <v/>
      </c>
      <c r="CS42" s="17" t="str">
        <f t="shared" si="74"/>
        <v/>
      </c>
      <c r="CT42" s="17" t="str">
        <f t="shared" si="74"/>
        <v/>
      </c>
      <c r="CU42" s="17" t="str">
        <f t="shared" si="74"/>
        <v/>
      </c>
      <c r="CV42" s="17" t="str">
        <f t="shared" si="74"/>
        <v/>
      </c>
      <c r="CW42" s="17" t="str">
        <f t="shared" si="75"/>
        <v/>
      </c>
      <c r="CX42" s="17" t="str">
        <f t="shared" si="75"/>
        <v/>
      </c>
      <c r="CY42" s="17" t="str">
        <f t="shared" si="75"/>
        <v/>
      </c>
      <c r="CZ42" s="17" t="str">
        <f t="shared" si="75"/>
        <v/>
      </c>
      <c r="DA42" s="17" t="str">
        <f t="shared" si="75"/>
        <v/>
      </c>
      <c r="DB42" s="17" t="str">
        <f t="shared" si="75"/>
        <v/>
      </c>
      <c r="DC42" s="17" t="str">
        <f t="shared" si="75"/>
        <v/>
      </c>
      <c r="DD42" s="17" t="str">
        <f t="shared" si="75"/>
        <v/>
      </c>
      <c r="DE42" s="17" t="str">
        <f t="shared" si="75"/>
        <v/>
      </c>
      <c r="DF42" s="17" t="str">
        <f t="shared" si="75"/>
        <v/>
      </c>
      <c r="DG42" s="17" t="str">
        <f t="shared" si="76"/>
        <v/>
      </c>
      <c r="DH42" s="17" t="str">
        <f t="shared" si="76"/>
        <v/>
      </c>
      <c r="DI42" s="17" t="str">
        <f t="shared" si="76"/>
        <v/>
      </c>
      <c r="DJ42" s="17" t="str">
        <f t="shared" si="76"/>
        <v/>
      </c>
      <c r="DK42" s="17" t="str">
        <f t="shared" si="76"/>
        <v/>
      </c>
      <c r="DL42" s="17" t="str">
        <f t="shared" si="76"/>
        <v/>
      </c>
      <c r="DM42" s="17" t="str">
        <f t="shared" si="76"/>
        <v/>
      </c>
      <c r="DN42" s="17" t="str">
        <f t="shared" si="76"/>
        <v/>
      </c>
      <c r="DO42" s="17" t="str">
        <f t="shared" si="76"/>
        <v/>
      </c>
      <c r="DP42" s="17" t="str">
        <f t="shared" si="76"/>
        <v/>
      </c>
      <c r="DQ42" s="17" t="str">
        <f t="shared" si="77"/>
        <v/>
      </c>
      <c r="DR42" s="17" t="str">
        <f t="shared" si="77"/>
        <v/>
      </c>
      <c r="DS42" s="17" t="str">
        <f t="shared" si="77"/>
        <v/>
      </c>
      <c r="DT42" s="17" t="str">
        <f t="shared" si="77"/>
        <v/>
      </c>
      <c r="DU42" s="17" t="str">
        <f t="shared" si="77"/>
        <v/>
      </c>
      <c r="DV42" s="17" t="str">
        <f t="shared" si="77"/>
        <v/>
      </c>
      <c r="DW42" s="17" t="str">
        <f t="shared" si="77"/>
        <v/>
      </c>
      <c r="DX42" s="17" t="str">
        <f t="shared" si="77"/>
        <v/>
      </c>
      <c r="DY42" s="17" t="str">
        <f t="shared" si="77"/>
        <v/>
      </c>
      <c r="DZ42" s="17" t="str">
        <f t="shared" si="77"/>
        <v/>
      </c>
      <c r="EA42" s="17" t="str">
        <f t="shared" si="78"/>
        <v/>
      </c>
      <c r="EB42" s="17" t="str">
        <f t="shared" si="78"/>
        <v/>
      </c>
      <c r="EC42" s="17" t="str">
        <f t="shared" si="78"/>
        <v/>
      </c>
      <c r="ED42" s="17" t="str">
        <f t="shared" si="78"/>
        <v/>
      </c>
      <c r="EE42" s="17" t="str">
        <f t="shared" si="78"/>
        <v/>
      </c>
      <c r="EF42" s="17" t="str">
        <f t="shared" si="78"/>
        <v/>
      </c>
      <c r="EG42" s="17" t="str">
        <f t="shared" si="78"/>
        <v/>
      </c>
      <c r="EH42" s="17" t="str">
        <f t="shared" si="78"/>
        <v/>
      </c>
      <c r="EI42" s="17" t="str">
        <f t="shared" si="78"/>
        <v/>
      </c>
      <c r="EJ42" s="17" t="str">
        <f t="shared" si="78"/>
        <v/>
      </c>
      <c r="EK42" s="17" t="str">
        <f t="shared" si="79"/>
        <v/>
      </c>
      <c r="EL42" s="17" t="str">
        <f t="shared" si="79"/>
        <v/>
      </c>
      <c r="EM42" s="17" t="str">
        <f t="shared" si="79"/>
        <v/>
      </c>
      <c r="EN42" s="17" t="str">
        <f t="shared" si="79"/>
        <v/>
      </c>
      <c r="EO42" s="17" t="str">
        <f t="shared" si="79"/>
        <v/>
      </c>
      <c r="EP42" s="17" t="str">
        <f t="shared" si="79"/>
        <v/>
      </c>
      <c r="EQ42" s="17" t="str">
        <f t="shared" si="79"/>
        <v/>
      </c>
      <c r="ER42" s="17" t="str">
        <f t="shared" si="79"/>
        <v/>
      </c>
      <c r="ES42" s="17" t="str">
        <f t="shared" si="79"/>
        <v/>
      </c>
      <c r="ET42" s="17" t="str">
        <f t="shared" si="79"/>
        <v/>
      </c>
      <c r="EU42" s="17" t="str">
        <f t="shared" si="80"/>
        <v/>
      </c>
      <c r="EV42" s="17" t="str">
        <f t="shared" si="80"/>
        <v/>
      </c>
      <c r="EW42" s="17" t="str">
        <f t="shared" si="80"/>
        <v/>
      </c>
      <c r="EX42" s="17" t="str">
        <f t="shared" si="80"/>
        <v/>
      </c>
      <c r="EY42" s="17" t="str">
        <f t="shared" si="80"/>
        <v/>
      </c>
      <c r="EZ42" s="17" t="str">
        <f t="shared" si="80"/>
        <v/>
      </c>
      <c r="FA42" s="17" t="str">
        <f t="shared" si="80"/>
        <v>R</v>
      </c>
      <c r="FB42" s="17" t="str">
        <f t="shared" si="80"/>
        <v>R</v>
      </c>
      <c r="FC42" s="17" t="str">
        <f t="shared" si="80"/>
        <v>R</v>
      </c>
      <c r="FD42" s="17" t="str">
        <f t="shared" si="80"/>
        <v>R</v>
      </c>
      <c r="FE42" s="17" t="str">
        <f t="shared" si="81"/>
        <v>R</v>
      </c>
      <c r="FF42" s="17" t="str">
        <f t="shared" si="81"/>
        <v>R</v>
      </c>
      <c r="FG42" s="17" t="str">
        <f t="shared" si="81"/>
        <v>R</v>
      </c>
      <c r="FH42" s="17" t="str">
        <f t="shared" si="81"/>
        <v>R</v>
      </c>
      <c r="FI42" s="17" t="str">
        <f t="shared" si="81"/>
        <v>R</v>
      </c>
      <c r="FJ42" s="17" t="str">
        <f t="shared" si="81"/>
        <v>R</v>
      </c>
      <c r="FK42" s="17" t="str">
        <f t="shared" si="81"/>
        <v>R</v>
      </c>
      <c r="FL42" s="17" t="str">
        <f t="shared" si="81"/>
        <v>R</v>
      </c>
      <c r="FM42" s="17" t="str">
        <f t="shared" si="81"/>
        <v>R</v>
      </c>
      <c r="FN42" s="17" t="str">
        <f t="shared" si="81"/>
        <v>R</v>
      </c>
      <c r="FO42" s="17" t="str">
        <f t="shared" si="82"/>
        <v>R</v>
      </c>
      <c r="FP42" s="17" t="str">
        <f t="shared" si="82"/>
        <v>R</v>
      </c>
      <c r="FQ42" s="17" t="str">
        <f t="shared" si="82"/>
        <v>P</v>
      </c>
      <c r="FR42" s="17" t="str">
        <f t="shared" si="82"/>
        <v>P</v>
      </c>
      <c r="FS42" s="17" t="str">
        <f t="shared" si="82"/>
        <v>T</v>
      </c>
      <c r="FT42" s="17" t="str">
        <f t="shared" si="82"/>
        <v>T</v>
      </c>
      <c r="FU42" s="17" t="str">
        <f t="shared" si="82"/>
        <v>T</v>
      </c>
      <c r="FV42" s="17" t="str">
        <f t="shared" si="82"/>
        <v>T</v>
      </c>
      <c r="FW42" s="17" t="str">
        <f t="shared" si="82"/>
        <v/>
      </c>
      <c r="FX42" s="17" t="str">
        <f t="shared" si="82"/>
        <v/>
      </c>
      <c r="FY42" s="17" t="str">
        <f t="shared" si="83"/>
        <v/>
      </c>
      <c r="FZ42" s="17" t="str">
        <f t="shared" si="83"/>
        <v/>
      </c>
      <c r="GA42" s="17" t="str">
        <f t="shared" si="83"/>
        <v/>
      </c>
      <c r="GB42" s="17" t="str">
        <f t="shared" si="83"/>
        <v/>
      </c>
      <c r="GC42" s="17" t="str">
        <f t="shared" si="83"/>
        <v/>
      </c>
      <c r="GD42" s="17" t="str">
        <f t="shared" si="83"/>
        <v/>
      </c>
      <c r="GE42" s="17" t="str">
        <f t="shared" si="83"/>
        <v/>
      </c>
      <c r="GF42" s="17" t="str">
        <f t="shared" si="83"/>
        <v/>
      </c>
      <c r="GG42" s="17" t="str">
        <f t="shared" si="83"/>
        <v/>
      </c>
      <c r="GH42" s="17" t="str">
        <f t="shared" si="83"/>
        <v/>
      </c>
      <c r="GI42" s="17" t="str">
        <f t="shared" si="84"/>
        <v/>
      </c>
      <c r="GJ42" s="17" t="str">
        <f t="shared" si="84"/>
        <v/>
      </c>
      <c r="GK42" s="17" t="str">
        <f t="shared" si="84"/>
        <v/>
      </c>
      <c r="GL42" s="17" t="str">
        <f t="shared" si="84"/>
        <v/>
      </c>
      <c r="GM42" s="17" t="str">
        <f t="shared" si="84"/>
        <v/>
      </c>
      <c r="GN42" s="17" t="str">
        <f t="shared" si="84"/>
        <v/>
      </c>
      <c r="GO42" s="17" t="str">
        <f t="shared" si="84"/>
        <v/>
      </c>
      <c r="GP42" s="17" t="str">
        <f t="shared" si="84"/>
        <v/>
      </c>
      <c r="GQ42" s="17" t="str">
        <f t="shared" si="84"/>
        <v/>
      </c>
      <c r="GR42" s="17" t="str">
        <f t="shared" si="84"/>
        <v/>
      </c>
      <c r="GS42" s="17" t="str">
        <f t="shared" si="85"/>
        <v/>
      </c>
      <c r="GT42" s="17" t="str">
        <f t="shared" si="85"/>
        <v/>
      </c>
      <c r="GU42" s="17" t="str">
        <f t="shared" si="85"/>
        <v/>
      </c>
      <c r="GV42" s="17" t="str">
        <f t="shared" si="85"/>
        <v/>
      </c>
      <c r="GW42" s="17" t="str">
        <f t="shared" si="85"/>
        <v/>
      </c>
      <c r="GX42" s="17" t="str">
        <f t="shared" si="85"/>
        <v/>
      </c>
      <c r="GY42" s="17" t="str">
        <f t="shared" si="85"/>
        <v/>
      </c>
      <c r="GZ42" s="17" t="str">
        <f t="shared" si="85"/>
        <v/>
      </c>
      <c r="HA42" s="17" t="str">
        <f t="shared" si="85"/>
        <v/>
      </c>
      <c r="HB42" s="17" t="str">
        <f t="shared" si="85"/>
        <v/>
      </c>
      <c r="HC42" s="17" t="str">
        <f t="shared" si="86"/>
        <v/>
      </c>
      <c r="HD42" s="17" t="str">
        <f t="shared" si="86"/>
        <v/>
      </c>
      <c r="HE42" s="17" t="str">
        <f t="shared" si="86"/>
        <v/>
      </c>
      <c r="HF42" s="17" t="str">
        <f t="shared" si="86"/>
        <v/>
      </c>
      <c r="HG42" s="17" t="str">
        <f t="shared" si="86"/>
        <v/>
      </c>
      <c r="HH42" s="17" t="str">
        <f t="shared" si="86"/>
        <v/>
      </c>
      <c r="HI42" s="17" t="str">
        <f t="shared" si="86"/>
        <v/>
      </c>
      <c r="HJ42" s="17" t="str">
        <f t="shared" si="86"/>
        <v/>
      </c>
      <c r="HK42" s="17" t="str">
        <f t="shared" si="86"/>
        <v/>
      </c>
      <c r="HL42" s="17" t="str">
        <f t="shared" si="86"/>
        <v/>
      </c>
      <c r="HM42" s="17" t="str">
        <f t="shared" si="87"/>
        <v/>
      </c>
      <c r="HN42" s="17" t="str">
        <f t="shared" si="87"/>
        <v/>
      </c>
      <c r="HO42" s="17" t="str">
        <f t="shared" si="87"/>
        <v/>
      </c>
      <c r="HP42" s="17" t="str">
        <f t="shared" si="87"/>
        <v/>
      </c>
      <c r="HQ42" s="17" t="str">
        <f t="shared" si="87"/>
        <v/>
      </c>
      <c r="HR42" s="17" t="str">
        <f t="shared" si="87"/>
        <v/>
      </c>
      <c r="HS42" s="17" t="str">
        <f t="shared" si="87"/>
        <v/>
      </c>
      <c r="HT42" s="17" t="str">
        <f t="shared" si="87"/>
        <v/>
      </c>
      <c r="HU42" s="17" t="str">
        <f t="shared" si="87"/>
        <v/>
      </c>
      <c r="HV42" s="17" t="str">
        <f t="shared" si="87"/>
        <v/>
      </c>
      <c r="HW42" s="17" t="str">
        <f t="shared" si="87"/>
        <v/>
      </c>
      <c r="HX42" s="17" t="str">
        <f t="shared" si="87"/>
        <v/>
      </c>
      <c r="HY42" s="17" t="str">
        <f t="shared" si="87"/>
        <v/>
      </c>
      <c r="HZ42" s="17" t="str">
        <f t="shared" si="87"/>
        <v/>
      </c>
      <c r="IA42" s="17" t="str">
        <f t="shared" si="87"/>
        <v/>
      </c>
    </row>
    <row r="43" spans="1:235" ht="25.95" customHeight="1" x14ac:dyDescent="0.3">
      <c r="A43" s="7">
        <v>38</v>
      </c>
      <c r="B43" s="7">
        <f>Premissas!$B$6</f>
        <v>6</v>
      </c>
      <c r="C43" s="7">
        <f>37*Premissas!$B$8</f>
        <v>448.48484848484856</v>
      </c>
      <c r="D43" s="7">
        <f>C43+Premissas!$B$9</f>
        <v>496.48484848484856</v>
      </c>
      <c r="E43" s="7">
        <f>C43+Premissas!$B$11</f>
        <v>502.48484848484856</v>
      </c>
      <c r="F43" s="7">
        <f>E43+Premissas!$B$8</f>
        <v>514.60606060606062</v>
      </c>
      <c r="G43" s="7">
        <f>Premissas!$B$11</f>
        <v>54</v>
      </c>
      <c r="H43" s="7">
        <f>Premissas!$B$12</f>
        <v>3</v>
      </c>
      <c r="I43" s="7" t="s">
        <v>47</v>
      </c>
      <c r="J43" s="8" t="s">
        <v>48</v>
      </c>
      <c r="K43" s="17" t="str">
        <f t="shared" si="66"/>
        <v/>
      </c>
      <c r="L43" s="17" t="str">
        <f t="shared" si="66"/>
        <v/>
      </c>
      <c r="M43" s="17" t="str">
        <f t="shared" si="66"/>
        <v/>
      </c>
      <c r="N43" s="17" t="str">
        <f t="shared" si="66"/>
        <v/>
      </c>
      <c r="O43" s="17" t="str">
        <f t="shared" si="66"/>
        <v/>
      </c>
      <c r="P43" s="17" t="str">
        <f t="shared" si="66"/>
        <v/>
      </c>
      <c r="Q43" s="17" t="str">
        <f t="shared" si="66"/>
        <v/>
      </c>
      <c r="R43" s="17" t="str">
        <f t="shared" si="66"/>
        <v/>
      </c>
      <c r="S43" s="17" t="str">
        <f t="shared" si="66"/>
        <v/>
      </c>
      <c r="T43" s="17" t="str">
        <f t="shared" si="66"/>
        <v/>
      </c>
      <c r="U43" s="17" t="str">
        <f t="shared" si="67"/>
        <v/>
      </c>
      <c r="V43" s="17" t="str">
        <f t="shared" si="67"/>
        <v/>
      </c>
      <c r="W43" s="17" t="str">
        <f t="shared" si="67"/>
        <v/>
      </c>
      <c r="X43" s="17" t="str">
        <f t="shared" si="67"/>
        <v/>
      </c>
      <c r="Y43" s="17" t="str">
        <f t="shared" si="67"/>
        <v/>
      </c>
      <c r="Z43" s="17" t="str">
        <f t="shared" si="67"/>
        <v/>
      </c>
      <c r="AA43" s="17" t="str">
        <f t="shared" si="67"/>
        <v/>
      </c>
      <c r="AB43" s="17" t="str">
        <f t="shared" si="67"/>
        <v/>
      </c>
      <c r="AC43" s="17" t="str">
        <f t="shared" si="67"/>
        <v/>
      </c>
      <c r="AD43" s="17" t="str">
        <f t="shared" si="67"/>
        <v/>
      </c>
      <c r="AE43" s="17" t="str">
        <f t="shared" si="68"/>
        <v/>
      </c>
      <c r="AF43" s="17" t="str">
        <f t="shared" si="68"/>
        <v/>
      </c>
      <c r="AG43" s="17" t="str">
        <f t="shared" si="68"/>
        <v/>
      </c>
      <c r="AH43" s="17" t="str">
        <f t="shared" si="68"/>
        <v/>
      </c>
      <c r="AI43" s="17" t="str">
        <f t="shared" si="68"/>
        <v/>
      </c>
      <c r="AJ43" s="17" t="str">
        <f t="shared" si="68"/>
        <v/>
      </c>
      <c r="AK43" s="17" t="str">
        <f t="shared" si="68"/>
        <v/>
      </c>
      <c r="AL43" s="17" t="str">
        <f t="shared" si="68"/>
        <v/>
      </c>
      <c r="AM43" s="17" t="str">
        <f t="shared" si="68"/>
        <v/>
      </c>
      <c r="AN43" s="17" t="str">
        <f t="shared" si="68"/>
        <v/>
      </c>
      <c r="AO43" s="17" t="str">
        <f t="shared" si="69"/>
        <v/>
      </c>
      <c r="AP43" s="17" t="str">
        <f t="shared" si="69"/>
        <v/>
      </c>
      <c r="AQ43" s="17" t="str">
        <f t="shared" si="69"/>
        <v/>
      </c>
      <c r="AR43" s="17" t="str">
        <f t="shared" si="69"/>
        <v/>
      </c>
      <c r="AS43" s="17" t="str">
        <f t="shared" si="69"/>
        <v/>
      </c>
      <c r="AT43" s="17" t="str">
        <f t="shared" si="69"/>
        <v/>
      </c>
      <c r="AU43" s="17" t="str">
        <f t="shared" si="69"/>
        <v/>
      </c>
      <c r="AV43" s="17" t="str">
        <f t="shared" si="69"/>
        <v/>
      </c>
      <c r="AW43" s="17" t="str">
        <f t="shared" si="69"/>
        <v/>
      </c>
      <c r="AX43" s="17" t="str">
        <f t="shared" si="69"/>
        <v/>
      </c>
      <c r="AY43" s="17" t="str">
        <f t="shared" si="70"/>
        <v/>
      </c>
      <c r="AZ43" s="17" t="str">
        <f t="shared" si="70"/>
        <v/>
      </c>
      <c r="BA43" s="17" t="str">
        <f t="shared" si="70"/>
        <v/>
      </c>
      <c r="BB43" s="17" t="str">
        <f t="shared" si="70"/>
        <v/>
      </c>
      <c r="BC43" s="17" t="str">
        <f t="shared" si="70"/>
        <v/>
      </c>
      <c r="BD43" s="17" t="str">
        <f t="shared" si="70"/>
        <v/>
      </c>
      <c r="BE43" s="17" t="str">
        <f t="shared" si="70"/>
        <v/>
      </c>
      <c r="BF43" s="17" t="str">
        <f t="shared" si="70"/>
        <v/>
      </c>
      <c r="BG43" s="17" t="str">
        <f t="shared" si="70"/>
        <v/>
      </c>
      <c r="BH43" s="17" t="str">
        <f t="shared" si="70"/>
        <v/>
      </c>
      <c r="BI43" s="17" t="str">
        <f t="shared" si="71"/>
        <v/>
      </c>
      <c r="BJ43" s="17" t="str">
        <f t="shared" si="71"/>
        <v/>
      </c>
      <c r="BK43" s="17" t="str">
        <f t="shared" si="71"/>
        <v/>
      </c>
      <c r="BL43" s="17" t="str">
        <f t="shared" si="71"/>
        <v/>
      </c>
      <c r="BM43" s="17" t="str">
        <f t="shared" si="71"/>
        <v/>
      </c>
      <c r="BN43" s="17" t="str">
        <f t="shared" si="71"/>
        <v/>
      </c>
      <c r="BO43" s="17" t="str">
        <f t="shared" si="71"/>
        <v/>
      </c>
      <c r="BP43" s="17" t="str">
        <f t="shared" si="71"/>
        <v/>
      </c>
      <c r="BQ43" s="17" t="str">
        <f t="shared" si="71"/>
        <v/>
      </c>
      <c r="BR43" s="17" t="str">
        <f t="shared" si="71"/>
        <v/>
      </c>
      <c r="BS43" s="17" t="str">
        <f t="shared" si="72"/>
        <v/>
      </c>
      <c r="BT43" s="17" t="str">
        <f t="shared" si="72"/>
        <v/>
      </c>
      <c r="BU43" s="17" t="str">
        <f t="shared" si="72"/>
        <v/>
      </c>
      <c r="BV43" s="17" t="str">
        <f t="shared" si="72"/>
        <v/>
      </c>
      <c r="BW43" s="17" t="str">
        <f t="shared" si="72"/>
        <v/>
      </c>
      <c r="BX43" s="17" t="str">
        <f t="shared" si="72"/>
        <v/>
      </c>
      <c r="BY43" s="17" t="str">
        <f t="shared" si="72"/>
        <v/>
      </c>
      <c r="BZ43" s="17" t="str">
        <f t="shared" si="72"/>
        <v/>
      </c>
      <c r="CA43" s="17" t="str">
        <f t="shared" si="72"/>
        <v/>
      </c>
      <c r="CB43" s="17" t="str">
        <f t="shared" si="72"/>
        <v/>
      </c>
      <c r="CC43" s="17" t="str">
        <f t="shared" si="73"/>
        <v/>
      </c>
      <c r="CD43" s="17" t="str">
        <f t="shared" si="73"/>
        <v/>
      </c>
      <c r="CE43" s="17" t="str">
        <f t="shared" si="73"/>
        <v/>
      </c>
      <c r="CF43" s="17" t="str">
        <f t="shared" si="73"/>
        <v/>
      </c>
      <c r="CG43" s="17" t="str">
        <f t="shared" si="73"/>
        <v/>
      </c>
      <c r="CH43" s="17" t="str">
        <f t="shared" si="73"/>
        <v/>
      </c>
      <c r="CI43" s="17" t="str">
        <f t="shared" si="73"/>
        <v/>
      </c>
      <c r="CJ43" s="17" t="str">
        <f t="shared" si="73"/>
        <v/>
      </c>
      <c r="CK43" s="17" t="str">
        <f t="shared" si="73"/>
        <v/>
      </c>
      <c r="CL43" s="17" t="str">
        <f t="shared" si="73"/>
        <v/>
      </c>
      <c r="CM43" s="17" t="str">
        <f t="shared" si="74"/>
        <v/>
      </c>
      <c r="CN43" s="17" t="str">
        <f t="shared" si="74"/>
        <v/>
      </c>
      <c r="CO43" s="17" t="str">
        <f t="shared" si="74"/>
        <v/>
      </c>
      <c r="CP43" s="17" t="str">
        <f t="shared" si="74"/>
        <v/>
      </c>
      <c r="CQ43" s="17" t="str">
        <f t="shared" si="74"/>
        <v/>
      </c>
      <c r="CR43" s="17" t="str">
        <f t="shared" si="74"/>
        <v/>
      </c>
      <c r="CS43" s="17" t="str">
        <f t="shared" si="74"/>
        <v/>
      </c>
      <c r="CT43" s="17" t="str">
        <f t="shared" si="74"/>
        <v/>
      </c>
      <c r="CU43" s="17" t="str">
        <f t="shared" si="74"/>
        <v/>
      </c>
      <c r="CV43" s="17" t="str">
        <f t="shared" si="74"/>
        <v/>
      </c>
      <c r="CW43" s="17" t="str">
        <f t="shared" si="75"/>
        <v/>
      </c>
      <c r="CX43" s="17" t="str">
        <f t="shared" si="75"/>
        <v/>
      </c>
      <c r="CY43" s="17" t="str">
        <f t="shared" si="75"/>
        <v/>
      </c>
      <c r="CZ43" s="17" t="str">
        <f t="shared" si="75"/>
        <v/>
      </c>
      <c r="DA43" s="17" t="str">
        <f t="shared" si="75"/>
        <v/>
      </c>
      <c r="DB43" s="17" t="str">
        <f t="shared" si="75"/>
        <v/>
      </c>
      <c r="DC43" s="17" t="str">
        <f t="shared" si="75"/>
        <v/>
      </c>
      <c r="DD43" s="17" t="str">
        <f t="shared" si="75"/>
        <v/>
      </c>
      <c r="DE43" s="17" t="str">
        <f t="shared" si="75"/>
        <v/>
      </c>
      <c r="DF43" s="17" t="str">
        <f t="shared" si="75"/>
        <v/>
      </c>
      <c r="DG43" s="17" t="str">
        <f t="shared" si="76"/>
        <v/>
      </c>
      <c r="DH43" s="17" t="str">
        <f t="shared" si="76"/>
        <v/>
      </c>
      <c r="DI43" s="17" t="str">
        <f t="shared" si="76"/>
        <v/>
      </c>
      <c r="DJ43" s="17" t="str">
        <f t="shared" si="76"/>
        <v/>
      </c>
      <c r="DK43" s="17" t="str">
        <f t="shared" si="76"/>
        <v/>
      </c>
      <c r="DL43" s="17" t="str">
        <f t="shared" si="76"/>
        <v/>
      </c>
      <c r="DM43" s="17" t="str">
        <f t="shared" si="76"/>
        <v/>
      </c>
      <c r="DN43" s="17" t="str">
        <f t="shared" si="76"/>
        <v/>
      </c>
      <c r="DO43" s="17" t="str">
        <f t="shared" si="76"/>
        <v/>
      </c>
      <c r="DP43" s="17" t="str">
        <f t="shared" si="76"/>
        <v/>
      </c>
      <c r="DQ43" s="17" t="str">
        <f t="shared" si="77"/>
        <v/>
      </c>
      <c r="DR43" s="17" t="str">
        <f t="shared" si="77"/>
        <v/>
      </c>
      <c r="DS43" s="17" t="str">
        <f t="shared" si="77"/>
        <v/>
      </c>
      <c r="DT43" s="17" t="str">
        <f t="shared" si="77"/>
        <v/>
      </c>
      <c r="DU43" s="17" t="str">
        <f t="shared" si="77"/>
        <v/>
      </c>
      <c r="DV43" s="17" t="str">
        <f t="shared" si="77"/>
        <v/>
      </c>
      <c r="DW43" s="17" t="str">
        <f t="shared" si="77"/>
        <v/>
      </c>
      <c r="DX43" s="17" t="str">
        <f t="shared" si="77"/>
        <v/>
      </c>
      <c r="DY43" s="17" t="str">
        <f t="shared" si="77"/>
        <v/>
      </c>
      <c r="DZ43" s="17" t="str">
        <f t="shared" si="77"/>
        <v/>
      </c>
      <c r="EA43" s="17" t="str">
        <f t="shared" si="78"/>
        <v/>
      </c>
      <c r="EB43" s="17" t="str">
        <f t="shared" si="78"/>
        <v/>
      </c>
      <c r="EC43" s="17" t="str">
        <f t="shared" si="78"/>
        <v/>
      </c>
      <c r="ED43" s="17" t="str">
        <f t="shared" si="78"/>
        <v/>
      </c>
      <c r="EE43" s="17" t="str">
        <f t="shared" si="78"/>
        <v/>
      </c>
      <c r="EF43" s="17" t="str">
        <f t="shared" si="78"/>
        <v/>
      </c>
      <c r="EG43" s="17" t="str">
        <f t="shared" si="78"/>
        <v/>
      </c>
      <c r="EH43" s="17" t="str">
        <f t="shared" si="78"/>
        <v/>
      </c>
      <c r="EI43" s="17" t="str">
        <f t="shared" si="78"/>
        <v/>
      </c>
      <c r="EJ43" s="17" t="str">
        <f t="shared" si="78"/>
        <v/>
      </c>
      <c r="EK43" s="17" t="str">
        <f t="shared" si="79"/>
        <v/>
      </c>
      <c r="EL43" s="17" t="str">
        <f t="shared" si="79"/>
        <v/>
      </c>
      <c r="EM43" s="17" t="str">
        <f t="shared" si="79"/>
        <v/>
      </c>
      <c r="EN43" s="17" t="str">
        <f t="shared" si="79"/>
        <v/>
      </c>
      <c r="EO43" s="17" t="str">
        <f t="shared" si="79"/>
        <v/>
      </c>
      <c r="EP43" s="17" t="str">
        <f t="shared" si="79"/>
        <v/>
      </c>
      <c r="EQ43" s="17" t="str">
        <f t="shared" si="79"/>
        <v/>
      </c>
      <c r="ER43" s="17" t="str">
        <f t="shared" si="79"/>
        <v/>
      </c>
      <c r="ES43" s="17" t="str">
        <f t="shared" si="79"/>
        <v/>
      </c>
      <c r="ET43" s="17" t="str">
        <f t="shared" si="79"/>
        <v/>
      </c>
      <c r="EU43" s="17" t="str">
        <f t="shared" si="80"/>
        <v/>
      </c>
      <c r="EV43" s="17" t="str">
        <f t="shared" si="80"/>
        <v/>
      </c>
      <c r="EW43" s="17" t="str">
        <f t="shared" si="80"/>
        <v/>
      </c>
      <c r="EX43" s="17" t="str">
        <f t="shared" si="80"/>
        <v/>
      </c>
      <c r="EY43" s="17" t="str">
        <f t="shared" si="80"/>
        <v/>
      </c>
      <c r="EZ43" s="17" t="str">
        <f t="shared" si="80"/>
        <v/>
      </c>
      <c r="FA43" s="17" t="str">
        <f t="shared" si="80"/>
        <v/>
      </c>
      <c r="FB43" s="17" t="str">
        <f t="shared" si="80"/>
        <v/>
      </c>
      <c r="FC43" s="17" t="str">
        <f t="shared" si="80"/>
        <v/>
      </c>
      <c r="FD43" s="17" t="str">
        <f t="shared" si="80"/>
        <v/>
      </c>
      <c r="FE43" s="17" t="str">
        <f t="shared" si="81"/>
        <v>R</v>
      </c>
      <c r="FF43" s="17" t="str">
        <f t="shared" si="81"/>
        <v>R</v>
      </c>
      <c r="FG43" s="17" t="str">
        <f t="shared" si="81"/>
        <v>R</v>
      </c>
      <c r="FH43" s="17" t="str">
        <f t="shared" si="81"/>
        <v>R</v>
      </c>
      <c r="FI43" s="17" t="str">
        <f t="shared" si="81"/>
        <v>R</v>
      </c>
      <c r="FJ43" s="17" t="str">
        <f t="shared" si="81"/>
        <v>R</v>
      </c>
      <c r="FK43" s="17" t="str">
        <f t="shared" si="81"/>
        <v>R</v>
      </c>
      <c r="FL43" s="17" t="str">
        <f t="shared" si="81"/>
        <v>R</v>
      </c>
      <c r="FM43" s="17" t="str">
        <f t="shared" si="81"/>
        <v>R</v>
      </c>
      <c r="FN43" s="17" t="str">
        <f t="shared" si="81"/>
        <v>R</v>
      </c>
      <c r="FO43" s="17" t="str">
        <f t="shared" si="82"/>
        <v>R</v>
      </c>
      <c r="FP43" s="17" t="str">
        <f t="shared" si="82"/>
        <v>R</v>
      </c>
      <c r="FQ43" s="17" t="str">
        <f t="shared" si="82"/>
        <v>R</v>
      </c>
      <c r="FR43" s="17" t="str">
        <f t="shared" si="82"/>
        <v>R</v>
      </c>
      <c r="FS43" s="17" t="str">
        <f t="shared" si="82"/>
        <v>R</v>
      </c>
      <c r="FT43" s="17" t="str">
        <f t="shared" si="82"/>
        <v>R</v>
      </c>
      <c r="FU43" s="17" t="str">
        <f t="shared" si="82"/>
        <v>P</v>
      </c>
      <c r="FV43" s="17" t="str">
        <f t="shared" si="82"/>
        <v>P</v>
      </c>
      <c r="FW43" s="17" t="str">
        <f t="shared" si="82"/>
        <v>T</v>
      </c>
      <c r="FX43" s="17" t="str">
        <f t="shared" si="82"/>
        <v>T</v>
      </c>
      <c r="FY43" s="17" t="str">
        <f t="shared" si="83"/>
        <v>T</v>
      </c>
      <c r="FZ43" s="17" t="str">
        <f t="shared" si="83"/>
        <v>T</v>
      </c>
      <c r="GA43" s="17" t="str">
        <f t="shared" si="83"/>
        <v/>
      </c>
      <c r="GB43" s="17" t="str">
        <f t="shared" si="83"/>
        <v/>
      </c>
      <c r="GC43" s="17" t="str">
        <f t="shared" si="83"/>
        <v/>
      </c>
      <c r="GD43" s="17" t="str">
        <f t="shared" si="83"/>
        <v/>
      </c>
      <c r="GE43" s="17" t="str">
        <f t="shared" si="83"/>
        <v/>
      </c>
      <c r="GF43" s="17" t="str">
        <f t="shared" si="83"/>
        <v/>
      </c>
      <c r="GG43" s="17" t="str">
        <f t="shared" si="83"/>
        <v/>
      </c>
      <c r="GH43" s="17" t="str">
        <f t="shared" si="83"/>
        <v/>
      </c>
      <c r="GI43" s="17" t="str">
        <f t="shared" si="84"/>
        <v/>
      </c>
      <c r="GJ43" s="17" t="str">
        <f t="shared" si="84"/>
        <v/>
      </c>
      <c r="GK43" s="17" t="str">
        <f t="shared" si="84"/>
        <v/>
      </c>
      <c r="GL43" s="17" t="str">
        <f t="shared" si="84"/>
        <v/>
      </c>
      <c r="GM43" s="17" t="str">
        <f t="shared" si="84"/>
        <v/>
      </c>
      <c r="GN43" s="17" t="str">
        <f t="shared" si="84"/>
        <v/>
      </c>
      <c r="GO43" s="17" t="str">
        <f t="shared" si="84"/>
        <v/>
      </c>
      <c r="GP43" s="17" t="str">
        <f t="shared" si="84"/>
        <v/>
      </c>
      <c r="GQ43" s="17" t="str">
        <f t="shared" si="84"/>
        <v/>
      </c>
      <c r="GR43" s="17" t="str">
        <f t="shared" si="84"/>
        <v/>
      </c>
      <c r="GS43" s="17" t="str">
        <f t="shared" si="85"/>
        <v/>
      </c>
      <c r="GT43" s="17" t="str">
        <f t="shared" si="85"/>
        <v/>
      </c>
      <c r="GU43" s="17" t="str">
        <f t="shared" si="85"/>
        <v/>
      </c>
      <c r="GV43" s="17" t="str">
        <f t="shared" si="85"/>
        <v/>
      </c>
      <c r="GW43" s="17" t="str">
        <f t="shared" si="85"/>
        <v/>
      </c>
      <c r="GX43" s="17" t="str">
        <f t="shared" si="85"/>
        <v/>
      </c>
      <c r="GY43" s="17" t="str">
        <f t="shared" si="85"/>
        <v/>
      </c>
      <c r="GZ43" s="17" t="str">
        <f t="shared" si="85"/>
        <v/>
      </c>
      <c r="HA43" s="17" t="str">
        <f t="shared" si="85"/>
        <v/>
      </c>
      <c r="HB43" s="17" t="str">
        <f t="shared" si="85"/>
        <v/>
      </c>
      <c r="HC43" s="17" t="str">
        <f t="shared" si="86"/>
        <v/>
      </c>
      <c r="HD43" s="17" t="str">
        <f t="shared" si="86"/>
        <v/>
      </c>
      <c r="HE43" s="17" t="str">
        <f t="shared" si="86"/>
        <v/>
      </c>
      <c r="HF43" s="17" t="str">
        <f t="shared" si="86"/>
        <v/>
      </c>
      <c r="HG43" s="17" t="str">
        <f t="shared" si="86"/>
        <v/>
      </c>
      <c r="HH43" s="17" t="str">
        <f t="shared" si="86"/>
        <v/>
      </c>
      <c r="HI43" s="17" t="str">
        <f t="shared" si="86"/>
        <v/>
      </c>
      <c r="HJ43" s="17" t="str">
        <f t="shared" si="86"/>
        <v/>
      </c>
      <c r="HK43" s="17" t="str">
        <f t="shared" si="86"/>
        <v/>
      </c>
      <c r="HL43" s="17" t="str">
        <f t="shared" si="86"/>
        <v/>
      </c>
      <c r="HM43" s="17" t="str">
        <f t="shared" si="87"/>
        <v/>
      </c>
      <c r="HN43" s="17" t="str">
        <f t="shared" si="87"/>
        <v/>
      </c>
      <c r="HO43" s="17" t="str">
        <f t="shared" si="87"/>
        <v/>
      </c>
      <c r="HP43" s="17" t="str">
        <f t="shared" si="87"/>
        <v/>
      </c>
      <c r="HQ43" s="17" t="str">
        <f t="shared" si="87"/>
        <v/>
      </c>
      <c r="HR43" s="17" t="str">
        <f t="shared" si="87"/>
        <v/>
      </c>
      <c r="HS43" s="17" t="str">
        <f t="shared" si="87"/>
        <v/>
      </c>
      <c r="HT43" s="17" t="str">
        <f t="shared" si="87"/>
        <v/>
      </c>
      <c r="HU43" s="17" t="str">
        <f t="shared" si="87"/>
        <v/>
      </c>
      <c r="HV43" s="17" t="str">
        <f t="shared" si="87"/>
        <v/>
      </c>
      <c r="HW43" s="17" t="str">
        <f t="shared" si="87"/>
        <v/>
      </c>
      <c r="HX43" s="17" t="str">
        <f t="shared" si="87"/>
        <v/>
      </c>
      <c r="HY43" s="17" t="str">
        <f t="shared" si="87"/>
        <v/>
      </c>
      <c r="HZ43" s="17" t="str">
        <f t="shared" si="87"/>
        <v/>
      </c>
      <c r="IA43" s="17" t="str">
        <f t="shared" si="87"/>
        <v/>
      </c>
    </row>
    <row r="44" spans="1:235" ht="25.95" customHeight="1" x14ac:dyDescent="0.3">
      <c r="A44" s="7">
        <v>39</v>
      </c>
      <c r="B44" s="7">
        <f>Premissas!$B$6</f>
        <v>6</v>
      </c>
      <c r="C44" s="7">
        <f>38*Premissas!$B$8</f>
        <v>460.60606060606068</v>
      </c>
      <c r="D44" s="7">
        <f>C44+Premissas!$B$9</f>
        <v>508.60606060606068</v>
      </c>
      <c r="E44" s="7">
        <f>C44+Premissas!$B$11</f>
        <v>514.60606060606074</v>
      </c>
      <c r="F44" s="7">
        <f>E44+Premissas!$B$8</f>
        <v>526.72727272727286</v>
      </c>
      <c r="G44" s="7">
        <f>Premissas!$B$11</f>
        <v>54</v>
      </c>
      <c r="H44" s="7">
        <f>Premissas!$B$12</f>
        <v>3</v>
      </c>
      <c r="I44" s="7" t="s">
        <v>47</v>
      </c>
      <c r="J44" s="8" t="s">
        <v>48</v>
      </c>
      <c r="K44" s="17" t="str">
        <f t="shared" si="66"/>
        <v/>
      </c>
      <c r="L44" s="17" t="str">
        <f t="shared" si="66"/>
        <v/>
      </c>
      <c r="M44" s="17" t="str">
        <f t="shared" si="66"/>
        <v/>
      </c>
      <c r="N44" s="17" t="str">
        <f t="shared" si="66"/>
        <v/>
      </c>
      <c r="O44" s="17" t="str">
        <f t="shared" si="66"/>
        <v/>
      </c>
      <c r="P44" s="17" t="str">
        <f t="shared" si="66"/>
        <v/>
      </c>
      <c r="Q44" s="17" t="str">
        <f t="shared" si="66"/>
        <v/>
      </c>
      <c r="R44" s="17" t="str">
        <f t="shared" si="66"/>
        <v/>
      </c>
      <c r="S44" s="17" t="str">
        <f t="shared" si="66"/>
        <v/>
      </c>
      <c r="T44" s="17" t="str">
        <f t="shared" si="66"/>
        <v/>
      </c>
      <c r="U44" s="17" t="str">
        <f t="shared" si="67"/>
        <v/>
      </c>
      <c r="V44" s="17" t="str">
        <f t="shared" si="67"/>
        <v/>
      </c>
      <c r="W44" s="17" t="str">
        <f t="shared" si="67"/>
        <v/>
      </c>
      <c r="X44" s="17" t="str">
        <f t="shared" si="67"/>
        <v/>
      </c>
      <c r="Y44" s="17" t="str">
        <f t="shared" si="67"/>
        <v/>
      </c>
      <c r="Z44" s="17" t="str">
        <f t="shared" si="67"/>
        <v/>
      </c>
      <c r="AA44" s="17" t="str">
        <f t="shared" si="67"/>
        <v/>
      </c>
      <c r="AB44" s="17" t="str">
        <f t="shared" si="67"/>
        <v/>
      </c>
      <c r="AC44" s="17" t="str">
        <f t="shared" si="67"/>
        <v/>
      </c>
      <c r="AD44" s="17" t="str">
        <f t="shared" si="67"/>
        <v/>
      </c>
      <c r="AE44" s="17" t="str">
        <f t="shared" si="68"/>
        <v/>
      </c>
      <c r="AF44" s="17" t="str">
        <f t="shared" si="68"/>
        <v/>
      </c>
      <c r="AG44" s="17" t="str">
        <f t="shared" si="68"/>
        <v/>
      </c>
      <c r="AH44" s="17" t="str">
        <f t="shared" si="68"/>
        <v/>
      </c>
      <c r="AI44" s="17" t="str">
        <f t="shared" si="68"/>
        <v/>
      </c>
      <c r="AJ44" s="17" t="str">
        <f t="shared" si="68"/>
        <v/>
      </c>
      <c r="AK44" s="17" t="str">
        <f t="shared" si="68"/>
        <v/>
      </c>
      <c r="AL44" s="17" t="str">
        <f t="shared" si="68"/>
        <v/>
      </c>
      <c r="AM44" s="17" t="str">
        <f t="shared" si="68"/>
        <v/>
      </c>
      <c r="AN44" s="17" t="str">
        <f t="shared" si="68"/>
        <v/>
      </c>
      <c r="AO44" s="17" t="str">
        <f t="shared" si="69"/>
        <v/>
      </c>
      <c r="AP44" s="17" t="str">
        <f t="shared" si="69"/>
        <v/>
      </c>
      <c r="AQ44" s="17" t="str">
        <f t="shared" si="69"/>
        <v/>
      </c>
      <c r="AR44" s="17" t="str">
        <f t="shared" si="69"/>
        <v/>
      </c>
      <c r="AS44" s="17" t="str">
        <f t="shared" si="69"/>
        <v/>
      </c>
      <c r="AT44" s="17" t="str">
        <f t="shared" si="69"/>
        <v/>
      </c>
      <c r="AU44" s="17" t="str">
        <f t="shared" si="69"/>
        <v/>
      </c>
      <c r="AV44" s="17" t="str">
        <f t="shared" si="69"/>
        <v/>
      </c>
      <c r="AW44" s="17" t="str">
        <f t="shared" si="69"/>
        <v/>
      </c>
      <c r="AX44" s="17" t="str">
        <f t="shared" si="69"/>
        <v/>
      </c>
      <c r="AY44" s="17" t="str">
        <f t="shared" si="70"/>
        <v/>
      </c>
      <c r="AZ44" s="17" t="str">
        <f t="shared" si="70"/>
        <v/>
      </c>
      <c r="BA44" s="17" t="str">
        <f t="shared" si="70"/>
        <v/>
      </c>
      <c r="BB44" s="17" t="str">
        <f t="shared" si="70"/>
        <v/>
      </c>
      <c r="BC44" s="17" t="str">
        <f t="shared" si="70"/>
        <v/>
      </c>
      <c r="BD44" s="17" t="str">
        <f t="shared" si="70"/>
        <v/>
      </c>
      <c r="BE44" s="17" t="str">
        <f t="shared" si="70"/>
        <v/>
      </c>
      <c r="BF44" s="17" t="str">
        <f t="shared" si="70"/>
        <v/>
      </c>
      <c r="BG44" s="17" t="str">
        <f t="shared" si="70"/>
        <v/>
      </c>
      <c r="BH44" s="17" t="str">
        <f t="shared" si="70"/>
        <v/>
      </c>
      <c r="BI44" s="17" t="str">
        <f t="shared" si="71"/>
        <v/>
      </c>
      <c r="BJ44" s="17" t="str">
        <f t="shared" si="71"/>
        <v/>
      </c>
      <c r="BK44" s="17" t="str">
        <f t="shared" si="71"/>
        <v/>
      </c>
      <c r="BL44" s="17" t="str">
        <f t="shared" si="71"/>
        <v/>
      </c>
      <c r="BM44" s="17" t="str">
        <f t="shared" si="71"/>
        <v/>
      </c>
      <c r="BN44" s="17" t="str">
        <f t="shared" si="71"/>
        <v/>
      </c>
      <c r="BO44" s="17" t="str">
        <f t="shared" si="71"/>
        <v/>
      </c>
      <c r="BP44" s="17" t="str">
        <f t="shared" si="71"/>
        <v/>
      </c>
      <c r="BQ44" s="17" t="str">
        <f t="shared" si="71"/>
        <v/>
      </c>
      <c r="BR44" s="17" t="str">
        <f t="shared" si="71"/>
        <v/>
      </c>
      <c r="BS44" s="17" t="str">
        <f t="shared" si="72"/>
        <v/>
      </c>
      <c r="BT44" s="17" t="str">
        <f t="shared" si="72"/>
        <v/>
      </c>
      <c r="BU44" s="17" t="str">
        <f t="shared" si="72"/>
        <v/>
      </c>
      <c r="BV44" s="17" t="str">
        <f t="shared" si="72"/>
        <v/>
      </c>
      <c r="BW44" s="17" t="str">
        <f t="shared" si="72"/>
        <v/>
      </c>
      <c r="BX44" s="17" t="str">
        <f t="shared" si="72"/>
        <v/>
      </c>
      <c r="BY44" s="17" t="str">
        <f t="shared" si="72"/>
        <v/>
      </c>
      <c r="BZ44" s="17" t="str">
        <f t="shared" si="72"/>
        <v/>
      </c>
      <c r="CA44" s="17" t="str">
        <f t="shared" si="72"/>
        <v/>
      </c>
      <c r="CB44" s="17" t="str">
        <f t="shared" si="72"/>
        <v/>
      </c>
      <c r="CC44" s="17" t="str">
        <f t="shared" si="73"/>
        <v/>
      </c>
      <c r="CD44" s="17" t="str">
        <f t="shared" si="73"/>
        <v/>
      </c>
      <c r="CE44" s="17" t="str">
        <f t="shared" si="73"/>
        <v/>
      </c>
      <c r="CF44" s="17" t="str">
        <f t="shared" si="73"/>
        <v/>
      </c>
      <c r="CG44" s="17" t="str">
        <f t="shared" si="73"/>
        <v/>
      </c>
      <c r="CH44" s="17" t="str">
        <f t="shared" si="73"/>
        <v/>
      </c>
      <c r="CI44" s="17" t="str">
        <f t="shared" si="73"/>
        <v/>
      </c>
      <c r="CJ44" s="17" t="str">
        <f t="shared" si="73"/>
        <v/>
      </c>
      <c r="CK44" s="17" t="str">
        <f t="shared" si="73"/>
        <v/>
      </c>
      <c r="CL44" s="17" t="str">
        <f t="shared" si="73"/>
        <v/>
      </c>
      <c r="CM44" s="17" t="str">
        <f t="shared" si="74"/>
        <v/>
      </c>
      <c r="CN44" s="17" t="str">
        <f t="shared" si="74"/>
        <v/>
      </c>
      <c r="CO44" s="17" t="str">
        <f t="shared" si="74"/>
        <v/>
      </c>
      <c r="CP44" s="17" t="str">
        <f t="shared" si="74"/>
        <v/>
      </c>
      <c r="CQ44" s="17" t="str">
        <f t="shared" si="74"/>
        <v/>
      </c>
      <c r="CR44" s="17" t="str">
        <f t="shared" si="74"/>
        <v/>
      </c>
      <c r="CS44" s="17" t="str">
        <f t="shared" si="74"/>
        <v/>
      </c>
      <c r="CT44" s="17" t="str">
        <f t="shared" si="74"/>
        <v/>
      </c>
      <c r="CU44" s="17" t="str">
        <f t="shared" si="74"/>
        <v/>
      </c>
      <c r="CV44" s="17" t="str">
        <f t="shared" si="74"/>
        <v/>
      </c>
      <c r="CW44" s="17" t="str">
        <f t="shared" si="75"/>
        <v/>
      </c>
      <c r="CX44" s="17" t="str">
        <f t="shared" si="75"/>
        <v/>
      </c>
      <c r="CY44" s="17" t="str">
        <f t="shared" si="75"/>
        <v/>
      </c>
      <c r="CZ44" s="17" t="str">
        <f t="shared" si="75"/>
        <v/>
      </c>
      <c r="DA44" s="17" t="str">
        <f t="shared" si="75"/>
        <v/>
      </c>
      <c r="DB44" s="17" t="str">
        <f t="shared" si="75"/>
        <v/>
      </c>
      <c r="DC44" s="17" t="str">
        <f t="shared" si="75"/>
        <v/>
      </c>
      <c r="DD44" s="17" t="str">
        <f t="shared" si="75"/>
        <v/>
      </c>
      <c r="DE44" s="17" t="str">
        <f t="shared" si="75"/>
        <v/>
      </c>
      <c r="DF44" s="17" t="str">
        <f t="shared" si="75"/>
        <v/>
      </c>
      <c r="DG44" s="17" t="str">
        <f t="shared" si="76"/>
        <v/>
      </c>
      <c r="DH44" s="17" t="str">
        <f t="shared" si="76"/>
        <v/>
      </c>
      <c r="DI44" s="17" t="str">
        <f t="shared" si="76"/>
        <v/>
      </c>
      <c r="DJ44" s="17" t="str">
        <f t="shared" si="76"/>
        <v/>
      </c>
      <c r="DK44" s="17" t="str">
        <f t="shared" si="76"/>
        <v/>
      </c>
      <c r="DL44" s="17" t="str">
        <f t="shared" si="76"/>
        <v/>
      </c>
      <c r="DM44" s="17" t="str">
        <f t="shared" si="76"/>
        <v/>
      </c>
      <c r="DN44" s="17" t="str">
        <f t="shared" si="76"/>
        <v/>
      </c>
      <c r="DO44" s="17" t="str">
        <f t="shared" si="76"/>
        <v/>
      </c>
      <c r="DP44" s="17" t="str">
        <f t="shared" si="76"/>
        <v/>
      </c>
      <c r="DQ44" s="17" t="str">
        <f t="shared" si="77"/>
        <v/>
      </c>
      <c r="DR44" s="17" t="str">
        <f t="shared" si="77"/>
        <v/>
      </c>
      <c r="DS44" s="17" t="str">
        <f t="shared" si="77"/>
        <v/>
      </c>
      <c r="DT44" s="17" t="str">
        <f t="shared" si="77"/>
        <v/>
      </c>
      <c r="DU44" s="17" t="str">
        <f t="shared" si="77"/>
        <v/>
      </c>
      <c r="DV44" s="17" t="str">
        <f t="shared" si="77"/>
        <v/>
      </c>
      <c r="DW44" s="17" t="str">
        <f t="shared" si="77"/>
        <v/>
      </c>
      <c r="DX44" s="17" t="str">
        <f t="shared" si="77"/>
        <v/>
      </c>
      <c r="DY44" s="17" t="str">
        <f t="shared" si="77"/>
        <v/>
      </c>
      <c r="DZ44" s="17" t="str">
        <f t="shared" si="77"/>
        <v/>
      </c>
      <c r="EA44" s="17" t="str">
        <f t="shared" si="78"/>
        <v/>
      </c>
      <c r="EB44" s="17" t="str">
        <f t="shared" si="78"/>
        <v/>
      </c>
      <c r="EC44" s="17" t="str">
        <f t="shared" si="78"/>
        <v/>
      </c>
      <c r="ED44" s="17" t="str">
        <f t="shared" si="78"/>
        <v/>
      </c>
      <c r="EE44" s="17" t="str">
        <f t="shared" si="78"/>
        <v/>
      </c>
      <c r="EF44" s="17" t="str">
        <f t="shared" si="78"/>
        <v/>
      </c>
      <c r="EG44" s="17" t="str">
        <f t="shared" si="78"/>
        <v/>
      </c>
      <c r="EH44" s="17" t="str">
        <f t="shared" si="78"/>
        <v/>
      </c>
      <c r="EI44" s="17" t="str">
        <f t="shared" si="78"/>
        <v/>
      </c>
      <c r="EJ44" s="17" t="str">
        <f t="shared" si="78"/>
        <v/>
      </c>
      <c r="EK44" s="17" t="str">
        <f t="shared" si="79"/>
        <v/>
      </c>
      <c r="EL44" s="17" t="str">
        <f t="shared" si="79"/>
        <v/>
      </c>
      <c r="EM44" s="17" t="str">
        <f t="shared" si="79"/>
        <v/>
      </c>
      <c r="EN44" s="17" t="str">
        <f t="shared" si="79"/>
        <v/>
      </c>
      <c r="EO44" s="17" t="str">
        <f t="shared" si="79"/>
        <v/>
      </c>
      <c r="EP44" s="17" t="str">
        <f t="shared" si="79"/>
        <v/>
      </c>
      <c r="EQ44" s="17" t="str">
        <f t="shared" si="79"/>
        <v/>
      </c>
      <c r="ER44" s="17" t="str">
        <f t="shared" si="79"/>
        <v/>
      </c>
      <c r="ES44" s="17" t="str">
        <f t="shared" si="79"/>
        <v/>
      </c>
      <c r="ET44" s="17" t="str">
        <f t="shared" si="79"/>
        <v/>
      </c>
      <c r="EU44" s="17" t="str">
        <f t="shared" si="80"/>
        <v/>
      </c>
      <c r="EV44" s="17" t="str">
        <f t="shared" si="80"/>
        <v/>
      </c>
      <c r="EW44" s="17" t="str">
        <f t="shared" si="80"/>
        <v/>
      </c>
      <c r="EX44" s="17" t="str">
        <f t="shared" si="80"/>
        <v/>
      </c>
      <c r="EY44" s="17" t="str">
        <f t="shared" si="80"/>
        <v/>
      </c>
      <c r="EZ44" s="17" t="str">
        <f t="shared" si="80"/>
        <v/>
      </c>
      <c r="FA44" s="17" t="str">
        <f t="shared" si="80"/>
        <v/>
      </c>
      <c r="FB44" s="17" t="str">
        <f t="shared" si="80"/>
        <v/>
      </c>
      <c r="FC44" s="17" t="str">
        <f t="shared" si="80"/>
        <v/>
      </c>
      <c r="FD44" s="17" t="str">
        <f t="shared" si="80"/>
        <v/>
      </c>
      <c r="FE44" s="17" t="str">
        <f t="shared" si="81"/>
        <v/>
      </c>
      <c r="FF44" s="17" t="str">
        <f t="shared" si="81"/>
        <v/>
      </c>
      <c r="FG44" s="17" t="str">
        <f t="shared" si="81"/>
        <v/>
      </c>
      <c r="FH44" s="17" t="str">
        <f t="shared" si="81"/>
        <v/>
      </c>
      <c r="FI44" s="17" t="str">
        <f t="shared" si="81"/>
        <v>R</v>
      </c>
      <c r="FJ44" s="17" t="str">
        <f t="shared" si="81"/>
        <v>R</v>
      </c>
      <c r="FK44" s="17" t="str">
        <f t="shared" si="81"/>
        <v>R</v>
      </c>
      <c r="FL44" s="17" t="str">
        <f t="shared" si="81"/>
        <v>R</v>
      </c>
      <c r="FM44" s="17" t="str">
        <f t="shared" si="81"/>
        <v>R</v>
      </c>
      <c r="FN44" s="17" t="str">
        <f t="shared" si="81"/>
        <v>R</v>
      </c>
      <c r="FO44" s="17" t="str">
        <f t="shared" si="82"/>
        <v>R</v>
      </c>
      <c r="FP44" s="17" t="str">
        <f t="shared" si="82"/>
        <v>R</v>
      </c>
      <c r="FQ44" s="17" t="str">
        <f t="shared" si="82"/>
        <v>R</v>
      </c>
      <c r="FR44" s="17" t="str">
        <f t="shared" si="82"/>
        <v>R</v>
      </c>
      <c r="FS44" s="17" t="str">
        <f t="shared" si="82"/>
        <v>R</v>
      </c>
      <c r="FT44" s="17" t="str">
        <f t="shared" si="82"/>
        <v>R</v>
      </c>
      <c r="FU44" s="17" t="str">
        <f t="shared" si="82"/>
        <v>R</v>
      </c>
      <c r="FV44" s="17" t="str">
        <f t="shared" si="82"/>
        <v>R</v>
      </c>
      <c r="FW44" s="17" t="str">
        <f t="shared" si="82"/>
        <v>R</v>
      </c>
      <c r="FX44" s="17" t="str">
        <f t="shared" si="82"/>
        <v>R</v>
      </c>
      <c r="FY44" s="17" t="str">
        <f t="shared" si="83"/>
        <v>P</v>
      </c>
      <c r="FZ44" s="17" t="str">
        <f t="shared" si="83"/>
        <v>P</v>
      </c>
      <c r="GA44" s="17" t="str">
        <f t="shared" si="83"/>
        <v>T</v>
      </c>
      <c r="GB44" s="17" t="str">
        <f t="shared" si="83"/>
        <v>T</v>
      </c>
      <c r="GC44" s="17" t="str">
        <f t="shared" si="83"/>
        <v>T</v>
      </c>
      <c r="GD44" s="17" t="str">
        <f t="shared" si="83"/>
        <v>T</v>
      </c>
      <c r="GE44" s="17" t="str">
        <f t="shared" si="83"/>
        <v/>
      </c>
      <c r="GF44" s="17" t="str">
        <f t="shared" si="83"/>
        <v/>
      </c>
      <c r="GG44" s="17" t="str">
        <f t="shared" si="83"/>
        <v/>
      </c>
      <c r="GH44" s="17" t="str">
        <f t="shared" si="83"/>
        <v/>
      </c>
      <c r="GI44" s="17" t="str">
        <f t="shared" si="84"/>
        <v/>
      </c>
      <c r="GJ44" s="17" t="str">
        <f t="shared" si="84"/>
        <v/>
      </c>
      <c r="GK44" s="17" t="str">
        <f t="shared" si="84"/>
        <v/>
      </c>
      <c r="GL44" s="17" t="str">
        <f t="shared" si="84"/>
        <v/>
      </c>
      <c r="GM44" s="17" t="str">
        <f t="shared" si="84"/>
        <v/>
      </c>
      <c r="GN44" s="17" t="str">
        <f t="shared" si="84"/>
        <v/>
      </c>
      <c r="GO44" s="17" t="str">
        <f t="shared" si="84"/>
        <v/>
      </c>
      <c r="GP44" s="17" t="str">
        <f t="shared" si="84"/>
        <v/>
      </c>
      <c r="GQ44" s="17" t="str">
        <f t="shared" si="84"/>
        <v/>
      </c>
      <c r="GR44" s="17" t="str">
        <f t="shared" si="84"/>
        <v/>
      </c>
      <c r="GS44" s="17" t="str">
        <f t="shared" si="85"/>
        <v/>
      </c>
      <c r="GT44" s="17" t="str">
        <f t="shared" si="85"/>
        <v/>
      </c>
      <c r="GU44" s="17" t="str">
        <f t="shared" si="85"/>
        <v/>
      </c>
      <c r="GV44" s="17" t="str">
        <f t="shared" si="85"/>
        <v/>
      </c>
      <c r="GW44" s="17" t="str">
        <f t="shared" si="85"/>
        <v/>
      </c>
      <c r="GX44" s="17" t="str">
        <f t="shared" si="85"/>
        <v/>
      </c>
      <c r="GY44" s="17" t="str">
        <f t="shared" si="85"/>
        <v/>
      </c>
      <c r="GZ44" s="17" t="str">
        <f t="shared" si="85"/>
        <v/>
      </c>
      <c r="HA44" s="17" t="str">
        <f t="shared" si="85"/>
        <v/>
      </c>
      <c r="HB44" s="17" t="str">
        <f t="shared" si="85"/>
        <v/>
      </c>
      <c r="HC44" s="17" t="str">
        <f t="shared" si="86"/>
        <v/>
      </c>
      <c r="HD44" s="17" t="str">
        <f t="shared" si="86"/>
        <v/>
      </c>
      <c r="HE44" s="17" t="str">
        <f t="shared" si="86"/>
        <v/>
      </c>
      <c r="HF44" s="17" t="str">
        <f t="shared" si="86"/>
        <v/>
      </c>
      <c r="HG44" s="17" t="str">
        <f t="shared" si="86"/>
        <v/>
      </c>
      <c r="HH44" s="17" t="str">
        <f t="shared" si="86"/>
        <v/>
      </c>
      <c r="HI44" s="17" t="str">
        <f t="shared" si="86"/>
        <v/>
      </c>
      <c r="HJ44" s="17" t="str">
        <f t="shared" si="86"/>
        <v/>
      </c>
      <c r="HK44" s="17" t="str">
        <f t="shared" si="86"/>
        <v/>
      </c>
      <c r="HL44" s="17" t="str">
        <f t="shared" si="86"/>
        <v/>
      </c>
      <c r="HM44" s="17" t="str">
        <f t="shared" si="87"/>
        <v/>
      </c>
      <c r="HN44" s="17" t="str">
        <f t="shared" si="87"/>
        <v/>
      </c>
      <c r="HO44" s="17" t="str">
        <f t="shared" si="87"/>
        <v/>
      </c>
      <c r="HP44" s="17" t="str">
        <f t="shared" si="87"/>
        <v/>
      </c>
      <c r="HQ44" s="17" t="str">
        <f t="shared" si="87"/>
        <v/>
      </c>
      <c r="HR44" s="17" t="str">
        <f t="shared" si="87"/>
        <v/>
      </c>
      <c r="HS44" s="17" t="str">
        <f t="shared" si="87"/>
        <v/>
      </c>
      <c r="HT44" s="17" t="str">
        <f t="shared" si="87"/>
        <v/>
      </c>
      <c r="HU44" s="17" t="str">
        <f t="shared" si="87"/>
        <v/>
      </c>
      <c r="HV44" s="17" t="str">
        <f t="shared" si="87"/>
        <v/>
      </c>
      <c r="HW44" s="17" t="str">
        <f t="shared" si="87"/>
        <v/>
      </c>
      <c r="HX44" s="17" t="str">
        <f t="shared" si="87"/>
        <v/>
      </c>
      <c r="HY44" s="17" t="str">
        <f t="shared" si="87"/>
        <v/>
      </c>
      <c r="HZ44" s="17" t="str">
        <f t="shared" si="87"/>
        <v/>
      </c>
      <c r="IA44" s="17" t="str">
        <f t="shared" si="87"/>
        <v/>
      </c>
    </row>
    <row r="45" spans="1:235" ht="25.95" customHeight="1" x14ac:dyDescent="0.3">
      <c r="A45" s="7">
        <v>40</v>
      </c>
      <c r="B45" s="7">
        <f>Premissas!$B$6</f>
        <v>6</v>
      </c>
      <c r="C45" s="7">
        <f>39*Premissas!$B$8</f>
        <v>472.7272727272728</v>
      </c>
      <c r="D45" s="7">
        <f>C45+Premissas!$B$9</f>
        <v>520.72727272727275</v>
      </c>
      <c r="E45" s="7">
        <f>C45+Premissas!$B$11</f>
        <v>526.72727272727275</v>
      </c>
      <c r="F45" s="7">
        <f>E45+Premissas!$B$8</f>
        <v>538.84848484848487</v>
      </c>
      <c r="G45" s="7">
        <f>Premissas!$B$11</f>
        <v>54</v>
      </c>
      <c r="H45" s="7">
        <f>Premissas!$B$12</f>
        <v>3</v>
      </c>
      <c r="I45" s="7" t="s">
        <v>47</v>
      </c>
      <c r="J45" s="8" t="s">
        <v>48</v>
      </c>
      <c r="K45" s="17" t="str">
        <f t="shared" si="66"/>
        <v/>
      </c>
      <c r="L45" s="17" t="str">
        <f t="shared" si="66"/>
        <v/>
      </c>
      <c r="M45" s="17" t="str">
        <f t="shared" si="66"/>
        <v/>
      </c>
      <c r="N45" s="17" t="str">
        <f t="shared" si="66"/>
        <v/>
      </c>
      <c r="O45" s="17" t="str">
        <f t="shared" si="66"/>
        <v/>
      </c>
      <c r="P45" s="17" t="str">
        <f t="shared" si="66"/>
        <v/>
      </c>
      <c r="Q45" s="17" t="str">
        <f t="shared" si="66"/>
        <v/>
      </c>
      <c r="R45" s="17" t="str">
        <f t="shared" si="66"/>
        <v/>
      </c>
      <c r="S45" s="17" t="str">
        <f t="shared" si="66"/>
        <v/>
      </c>
      <c r="T45" s="17" t="str">
        <f t="shared" si="66"/>
        <v/>
      </c>
      <c r="U45" s="17" t="str">
        <f t="shared" si="67"/>
        <v/>
      </c>
      <c r="V45" s="17" t="str">
        <f t="shared" si="67"/>
        <v/>
      </c>
      <c r="W45" s="17" t="str">
        <f t="shared" si="67"/>
        <v/>
      </c>
      <c r="X45" s="17" t="str">
        <f t="shared" si="67"/>
        <v/>
      </c>
      <c r="Y45" s="17" t="str">
        <f t="shared" si="67"/>
        <v/>
      </c>
      <c r="Z45" s="17" t="str">
        <f t="shared" si="67"/>
        <v/>
      </c>
      <c r="AA45" s="17" t="str">
        <f t="shared" si="67"/>
        <v/>
      </c>
      <c r="AB45" s="17" t="str">
        <f t="shared" si="67"/>
        <v/>
      </c>
      <c r="AC45" s="17" t="str">
        <f t="shared" si="67"/>
        <v/>
      </c>
      <c r="AD45" s="17" t="str">
        <f t="shared" si="67"/>
        <v/>
      </c>
      <c r="AE45" s="17" t="str">
        <f t="shared" si="68"/>
        <v/>
      </c>
      <c r="AF45" s="17" t="str">
        <f t="shared" si="68"/>
        <v/>
      </c>
      <c r="AG45" s="17" t="str">
        <f t="shared" si="68"/>
        <v/>
      </c>
      <c r="AH45" s="17" t="str">
        <f t="shared" si="68"/>
        <v/>
      </c>
      <c r="AI45" s="17" t="str">
        <f t="shared" si="68"/>
        <v/>
      </c>
      <c r="AJ45" s="17" t="str">
        <f t="shared" si="68"/>
        <v/>
      </c>
      <c r="AK45" s="17" t="str">
        <f t="shared" si="68"/>
        <v/>
      </c>
      <c r="AL45" s="17" t="str">
        <f t="shared" si="68"/>
        <v/>
      </c>
      <c r="AM45" s="17" t="str">
        <f t="shared" si="68"/>
        <v/>
      </c>
      <c r="AN45" s="17" t="str">
        <f t="shared" si="68"/>
        <v/>
      </c>
      <c r="AO45" s="17" t="str">
        <f t="shared" si="69"/>
        <v/>
      </c>
      <c r="AP45" s="17" t="str">
        <f t="shared" si="69"/>
        <v/>
      </c>
      <c r="AQ45" s="17" t="str">
        <f t="shared" si="69"/>
        <v/>
      </c>
      <c r="AR45" s="17" t="str">
        <f t="shared" si="69"/>
        <v/>
      </c>
      <c r="AS45" s="17" t="str">
        <f t="shared" si="69"/>
        <v/>
      </c>
      <c r="AT45" s="17" t="str">
        <f t="shared" si="69"/>
        <v/>
      </c>
      <c r="AU45" s="17" t="str">
        <f t="shared" si="69"/>
        <v/>
      </c>
      <c r="AV45" s="17" t="str">
        <f t="shared" si="69"/>
        <v/>
      </c>
      <c r="AW45" s="17" t="str">
        <f t="shared" si="69"/>
        <v/>
      </c>
      <c r="AX45" s="17" t="str">
        <f t="shared" si="69"/>
        <v/>
      </c>
      <c r="AY45" s="17" t="str">
        <f t="shared" si="70"/>
        <v/>
      </c>
      <c r="AZ45" s="17" t="str">
        <f t="shared" si="70"/>
        <v/>
      </c>
      <c r="BA45" s="17" t="str">
        <f t="shared" si="70"/>
        <v/>
      </c>
      <c r="BB45" s="17" t="str">
        <f t="shared" si="70"/>
        <v/>
      </c>
      <c r="BC45" s="17" t="str">
        <f t="shared" si="70"/>
        <v/>
      </c>
      <c r="BD45" s="17" t="str">
        <f t="shared" si="70"/>
        <v/>
      </c>
      <c r="BE45" s="17" t="str">
        <f t="shared" si="70"/>
        <v/>
      </c>
      <c r="BF45" s="17" t="str">
        <f t="shared" si="70"/>
        <v/>
      </c>
      <c r="BG45" s="17" t="str">
        <f t="shared" si="70"/>
        <v/>
      </c>
      <c r="BH45" s="17" t="str">
        <f t="shared" si="70"/>
        <v/>
      </c>
      <c r="BI45" s="17" t="str">
        <f t="shared" si="71"/>
        <v/>
      </c>
      <c r="BJ45" s="17" t="str">
        <f t="shared" si="71"/>
        <v/>
      </c>
      <c r="BK45" s="17" t="str">
        <f t="shared" si="71"/>
        <v/>
      </c>
      <c r="BL45" s="17" t="str">
        <f t="shared" si="71"/>
        <v/>
      </c>
      <c r="BM45" s="17" t="str">
        <f t="shared" si="71"/>
        <v/>
      </c>
      <c r="BN45" s="17" t="str">
        <f t="shared" si="71"/>
        <v/>
      </c>
      <c r="BO45" s="17" t="str">
        <f t="shared" si="71"/>
        <v/>
      </c>
      <c r="BP45" s="17" t="str">
        <f t="shared" si="71"/>
        <v/>
      </c>
      <c r="BQ45" s="17" t="str">
        <f t="shared" si="71"/>
        <v/>
      </c>
      <c r="BR45" s="17" t="str">
        <f t="shared" si="71"/>
        <v/>
      </c>
      <c r="BS45" s="17" t="str">
        <f t="shared" si="72"/>
        <v/>
      </c>
      <c r="BT45" s="17" t="str">
        <f t="shared" si="72"/>
        <v/>
      </c>
      <c r="BU45" s="17" t="str">
        <f t="shared" si="72"/>
        <v/>
      </c>
      <c r="BV45" s="17" t="str">
        <f t="shared" si="72"/>
        <v/>
      </c>
      <c r="BW45" s="17" t="str">
        <f t="shared" si="72"/>
        <v/>
      </c>
      <c r="BX45" s="17" t="str">
        <f t="shared" si="72"/>
        <v/>
      </c>
      <c r="BY45" s="17" t="str">
        <f t="shared" si="72"/>
        <v/>
      </c>
      <c r="BZ45" s="17" t="str">
        <f t="shared" si="72"/>
        <v/>
      </c>
      <c r="CA45" s="17" t="str">
        <f t="shared" si="72"/>
        <v/>
      </c>
      <c r="CB45" s="17" t="str">
        <f t="shared" si="72"/>
        <v/>
      </c>
      <c r="CC45" s="17" t="str">
        <f t="shared" si="73"/>
        <v/>
      </c>
      <c r="CD45" s="17" t="str">
        <f t="shared" si="73"/>
        <v/>
      </c>
      <c r="CE45" s="17" t="str">
        <f t="shared" si="73"/>
        <v/>
      </c>
      <c r="CF45" s="17" t="str">
        <f t="shared" si="73"/>
        <v/>
      </c>
      <c r="CG45" s="17" t="str">
        <f t="shared" si="73"/>
        <v/>
      </c>
      <c r="CH45" s="17" t="str">
        <f t="shared" si="73"/>
        <v/>
      </c>
      <c r="CI45" s="17" t="str">
        <f t="shared" si="73"/>
        <v/>
      </c>
      <c r="CJ45" s="17" t="str">
        <f t="shared" si="73"/>
        <v/>
      </c>
      <c r="CK45" s="17" t="str">
        <f t="shared" si="73"/>
        <v/>
      </c>
      <c r="CL45" s="17" t="str">
        <f t="shared" si="73"/>
        <v/>
      </c>
      <c r="CM45" s="17" t="str">
        <f t="shared" si="74"/>
        <v/>
      </c>
      <c r="CN45" s="17" t="str">
        <f t="shared" si="74"/>
        <v/>
      </c>
      <c r="CO45" s="17" t="str">
        <f t="shared" si="74"/>
        <v/>
      </c>
      <c r="CP45" s="17" t="str">
        <f t="shared" si="74"/>
        <v/>
      </c>
      <c r="CQ45" s="17" t="str">
        <f t="shared" si="74"/>
        <v/>
      </c>
      <c r="CR45" s="17" t="str">
        <f t="shared" si="74"/>
        <v/>
      </c>
      <c r="CS45" s="17" t="str">
        <f t="shared" si="74"/>
        <v/>
      </c>
      <c r="CT45" s="17" t="str">
        <f t="shared" si="74"/>
        <v/>
      </c>
      <c r="CU45" s="17" t="str">
        <f t="shared" si="74"/>
        <v/>
      </c>
      <c r="CV45" s="17" t="str">
        <f t="shared" si="74"/>
        <v/>
      </c>
      <c r="CW45" s="17" t="str">
        <f t="shared" si="75"/>
        <v/>
      </c>
      <c r="CX45" s="17" t="str">
        <f t="shared" si="75"/>
        <v/>
      </c>
      <c r="CY45" s="17" t="str">
        <f t="shared" si="75"/>
        <v/>
      </c>
      <c r="CZ45" s="17" t="str">
        <f t="shared" si="75"/>
        <v/>
      </c>
      <c r="DA45" s="17" t="str">
        <f t="shared" si="75"/>
        <v/>
      </c>
      <c r="DB45" s="17" t="str">
        <f t="shared" si="75"/>
        <v/>
      </c>
      <c r="DC45" s="17" t="str">
        <f t="shared" si="75"/>
        <v/>
      </c>
      <c r="DD45" s="17" t="str">
        <f t="shared" si="75"/>
        <v/>
      </c>
      <c r="DE45" s="17" t="str">
        <f t="shared" si="75"/>
        <v/>
      </c>
      <c r="DF45" s="17" t="str">
        <f t="shared" si="75"/>
        <v/>
      </c>
      <c r="DG45" s="17" t="str">
        <f t="shared" si="76"/>
        <v/>
      </c>
      <c r="DH45" s="17" t="str">
        <f t="shared" si="76"/>
        <v/>
      </c>
      <c r="DI45" s="17" t="str">
        <f t="shared" si="76"/>
        <v/>
      </c>
      <c r="DJ45" s="17" t="str">
        <f t="shared" si="76"/>
        <v/>
      </c>
      <c r="DK45" s="17" t="str">
        <f t="shared" si="76"/>
        <v/>
      </c>
      <c r="DL45" s="17" t="str">
        <f t="shared" si="76"/>
        <v/>
      </c>
      <c r="DM45" s="17" t="str">
        <f t="shared" si="76"/>
        <v/>
      </c>
      <c r="DN45" s="17" t="str">
        <f t="shared" si="76"/>
        <v/>
      </c>
      <c r="DO45" s="17" t="str">
        <f t="shared" si="76"/>
        <v/>
      </c>
      <c r="DP45" s="17" t="str">
        <f t="shared" si="76"/>
        <v/>
      </c>
      <c r="DQ45" s="17" t="str">
        <f t="shared" si="77"/>
        <v/>
      </c>
      <c r="DR45" s="17" t="str">
        <f t="shared" si="77"/>
        <v/>
      </c>
      <c r="DS45" s="17" t="str">
        <f t="shared" si="77"/>
        <v/>
      </c>
      <c r="DT45" s="17" t="str">
        <f t="shared" si="77"/>
        <v/>
      </c>
      <c r="DU45" s="17" t="str">
        <f t="shared" si="77"/>
        <v/>
      </c>
      <c r="DV45" s="17" t="str">
        <f t="shared" si="77"/>
        <v/>
      </c>
      <c r="DW45" s="17" t="str">
        <f t="shared" si="77"/>
        <v/>
      </c>
      <c r="DX45" s="17" t="str">
        <f t="shared" si="77"/>
        <v/>
      </c>
      <c r="DY45" s="17" t="str">
        <f t="shared" si="77"/>
        <v/>
      </c>
      <c r="DZ45" s="17" t="str">
        <f t="shared" si="77"/>
        <v/>
      </c>
      <c r="EA45" s="17" t="str">
        <f t="shared" si="78"/>
        <v/>
      </c>
      <c r="EB45" s="17" t="str">
        <f t="shared" si="78"/>
        <v/>
      </c>
      <c r="EC45" s="17" t="str">
        <f t="shared" si="78"/>
        <v/>
      </c>
      <c r="ED45" s="17" t="str">
        <f t="shared" si="78"/>
        <v/>
      </c>
      <c r="EE45" s="17" t="str">
        <f t="shared" si="78"/>
        <v/>
      </c>
      <c r="EF45" s="17" t="str">
        <f t="shared" si="78"/>
        <v/>
      </c>
      <c r="EG45" s="17" t="str">
        <f t="shared" si="78"/>
        <v/>
      </c>
      <c r="EH45" s="17" t="str">
        <f t="shared" si="78"/>
        <v/>
      </c>
      <c r="EI45" s="17" t="str">
        <f t="shared" si="78"/>
        <v/>
      </c>
      <c r="EJ45" s="17" t="str">
        <f t="shared" si="78"/>
        <v/>
      </c>
      <c r="EK45" s="17" t="str">
        <f t="shared" si="79"/>
        <v/>
      </c>
      <c r="EL45" s="17" t="str">
        <f t="shared" si="79"/>
        <v/>
      </c>
      <c r="EM45" s="17" t="str">
        <f t="shared" si="79"/>
        <v/>
      </c>
      <c r="EN45" s="17" t="str">
        <f t="shared" si="79"/>
        <v/>
      </c>
      <c r="EO45" s="17" t="str">
        <f t="shared" si="79"/>
        <v/>
      </c>
      <c r="EP45" s="17" t="str">
        <f t="shared" si="79"/>
        <v/>
      </c>
      <c r="EQ45" s="17" t="str">
        <f t="shared" si="79"/>
        <v/>
      </c>
      <c r="ER45" s="17" t="str">
        <f t="shared" si="79"/>
        <v/>
      </c>
      <c r="ES45" s="17" t="str">
        <f t="shared" si="79"/>
        <v/>
      </c>
      <c r="ET45" s="17" t="str">
        <f t="shared" si="79"/>
        <v/>
      </c>
      <c r="EU45" s="17" t="str">
        <f t="shared" si="80"/>
        <v/>
      </c>
      <c r="EV45" s="17" t="str">
        <f t="shared" si="80"/>
        <v/>
      </c>
      <c r="EW45" s="17" t="str">
        <f t="shared" si="80"/>
        <v/>
      </c>
      <c r="EX45" s="17" t="str">
        <f t="shared" si="80"/>
        <v/>
      </c>
      <c r="EY45" s="17" t="str">
        <f t="shared" si="80"/>
        <v/>
      </c>
      <c r="EZ45" s="17" t="str">
        <f t="shared" si="80"/>
        <v/>
      </c>
      <c r="FA45" s="17" t="str">
        <f t="shared" si="80"/>
        <v/>
      </c>
      <c r="FB45" s="17" t="str">
        <f t="shared" si="80"/>
        <v/>
      </c>
      <c r="FC45" s="17" t="str">
        <f t="shared" si="80"/>
        <v/>
      </c>
      <c r="FD45" s="17" t="str">
        <f t="shared" si="80"/>
        <v/>
      </c>
      <c r="FE45" s="17" t="str">
        <f t="shared" si="81"/>
        <v/>
      </c>
      <c r="FF45" s="17" t="str">
        <f t="shared" si="81"/>
        <v/>
      </c>
      <c r="FG45" s="17" t="str">
        <f t="shared" si="81"/>
        <v/>
      </c>
      <c r="FH45" s="17" t="str">
        <f t="shared" si="81"/>
        <v/>
      </c>
      <c r="FI45" s="17" t="str">
        <f t="shared" si="81"/>
        <v/>
      </c>
      <c r="FJ45" s="17" t="str">
        <f t="shared" si="81"/>
        <v/>
      </c>
      <c r="FK45" s="17" t="str">
        <f t="shared" si="81"/>
        <v/>
      </c>
      <c r="FL45" s="17" t="str">
        <f t="shared" si="81"/>
        <v/>
      </c>
      <c r="FM45" s="17" t="str">
        <f t="shared" si="81"/>
        <v>R</v>
      </c>
      <c r="FN45" s="17" t="str">
        <f t="shared" si="81"/>
        <v>R</v>
      </c>
      <c r="FO45" s="17" t="str">
        <f t="shared" si="82"/>
        <v>R</v>
      </c>
      <c r="FP45" s="17" t="str">
        <f t="shared" si="82"/>
        <v>R</v>
      </c>
      <c r="FQ45" s="17" t="str">
        <f t="shared" si="82"/>
        <v>R</v>
      </c>
      <c r="FR45" s="17" t="str">
        <f t="shared" si="82"/>
        <v>R</v>
      </c>
      <c r="FS45" s="17" t="str">
        <f t="shared" si="82"/>
        <v>R</v>
      </c>
      <c r="FT45" s="17" t="str">
        <f t="shared" si="82"/>
        <v>R</v>
      </c>
      <c r="FU45" s="17" t="str">
        <f t="shared" si="82"/>
        <v>R</v>
      </c>
      <c r="FV45" s="17" t="str">
        <f t="shared" si="82"/>
        <v>R</v>
      </c>
      <c r="FW45" s="17" t="str">
        <f t="shared" si="82"/>
        <v>R</v>
      </c>
      <c r="FX45" s="17" t="str">
        <f t="shared" si="82"/>
        <v>R</v>
      </c>
      <c r="FY45" s="17" t="str">
        <f t="shared" si="83"/>
        <v>R</v>
      </c>
      <c r="FZ45" s="17" t="str">
        <f t="shared" si="83"/>
        <v>R</v>
      </c>
      <c r="GA45" s="17" t="str">
        <f t="shared" si="83"/>
        <v>R</v>
      </c>
      <c r="GB45" s="17" t="str">
        <f t="shared" si="83"/>
        <v>R</v>
      </c>
      <c r="GC45" s="17" t="str">
        <f t="shared" si="83"/>
        <v>P</v>
      </c>
      <c r="GD45" s="17" t="str">
        <f t="shared" si="83"/>
        <v>P</v>
      </c>
      <c r="GE45" s="17" t="str">
        <f t="shared" si="83"/>
        <v>T</v>
      </c>
      <c r="GF45" s="17" t="str">
        <f t="shared" si="83"/>
        <v>T</v>
      </c>
      <c r="GG45" s="17" t="str">
        <f t="shared" si="83"/>
        <v>T</v>
      </c>
      <c r="GH45" s="17" t="str">
        <f t="shared" si="83"/>
        <v>T</v>
      </c>
      <c r="GI45" s="17" t="str">
        <f t="shared" si="84"/>
        <v/>
      </c>
      <c r="GJ45" s="17" t="str">
        <f t="shared" si="84"/>
        <v/>
      </c>
      <c r="GK45" s="17" t="str">
        <f t="shared" si="84"/>
        <v/>
      </c>
      <c r="GL45" s="17" t="str">
        <f t="shared" si="84"/>
        <v/>
      </c>
      <c r="GM45" s="17" t="str">
        <f t="shared" si="84"/>
        <v/>
      </c>
      <c r="GN45" s="17" t="str">
        <f t="shared" si="84"/>
        <v/>
      </c>
      <c r="GO45" s="17" t="str">
        <f t="shared" si="84"/>
        <v/>
      </c>
      <c r="GP45" s="17" t="str">
        <f t="shared" si="84"/>
        <v/>
      </c>
      <c r="GQ45" s="17" t="str">
        <f t="shared" si="84"/>
        <v/>
      </c>
      <c r="GR45" s="17" t="str">
        <f t="shared" si="84"/>
        <v/>
      </c>
      <c r="GS45" s="17" t="str">
        <f t="shared" si="85"/>
        <v/>
      </c>
      <c r="GT45" s="17" t="str">
        <f t="shared" si="85"/>
        <v/>
      </c>
      <c r="GU45" s="17" t="str">
        <f t="shared" si="85"/>
        <v/>
      </c>
      <c r="GV45" s="17" t="str">
        <f t="shared" si="85"/>
        <v/>
      </c>
      <c r="GW45" s="17" t="str">
        <f t="shared" si="85"/>
        <v/>
      </c>
      <c r="GX45" s="17" t="str">
        <f t="shared" si="85"/>
        <v/>
      </c>
      <c r="GY45" s="17" t="str">
        <f t="shared" si="85"/>
        <v/>
      </c>
      <c r="GZ45" s="17" t="str">
        <f t="shared" si="85"/>
        <v/>
      </c>
      <c r="HA45" s="17" t="str">
        <f t="shared" si="85"/>
        <v/>
      </c>
      <c r="HB45" s="17" t="str">
        <f t="shared" si="85"/>
        <v/>
      </c>
      <c r="HC45" s="17" t="str">
        <f t="shared" si="86"/>
        <v/>
      </c>
      <c r="HD45" s="17" t="str">
        <f t="shared" si="86"/>
        <v/>
      </c>
      <c r="HE45" s="17" t="str">
        <f t="shared" si="86"/>
        <v/>
      </c>
      <c r="HF45" s="17" t="str">
        <f t="shared" si="86"/>
        <v/>
      </c>
      <c r="HG45" s="17" t="str">
        <f t="shared" si="86"/>
        <v/>
      </c>
      <c r="HH45" s="17" t="str">
        <f t="shared" si="86"/>
        <v/>
      </c>
      <c r="HI45" s="17" t="str">
        <f t="shared" si="86"/>
        <v/>
      </c>
      <c r="HJ45" s="17" t="str">
        <f t="shared" si="86"/>
        <v/>
      </c>
      <c r="HK45" s="17" t="str">
        <f t="shared" si="86"/>
        <v/>
      </c>
      <c r="HL45" s="17" t="str">
        <f t="shared" si="86"/>
        <v/>
      </c>
      <c r="HM45" s="17" t="str">
        <f t="shared" si="87"/>
        <v/>
      </c>
      <c r="HN45" s="17" t="str">
        <f t="shared" si="87"/>
        <v/>
      </c>
      <c r="HO45" s="17" t="str">
        <f t="shared" si="87"/>
        <v/>
      </c>
      <c r="HP45" s="17" t="str">
        <f t="shared" si="87"/>
        <v/>
      </c>
      <c r="HQ45" s="17" t="str">
        <f t="shared" si="87"/>
        <v/>
      </c>
      <c r="HR45" s="17" t="str">
        <f t="shared" si="87"/>
        <v/>
      </c>
      <c r="HS45" s="17" t="str">
        <f t="shared" si="87"/>
        <v/>
      </c>
      <c r="HT45" s="17" t="str">
        <f t="shared" si="87"/>
        <v/>
      </c>
      <c r="HU45" s="17" t="str">
        <f t="shared" si="87"/>
        <v/>
      </c>
      <c r="HV45" s="17" t="str">
        <f t="shared" si="87"/>
        <v/>
      </c>
      <c r="HW45" s="17" t="str">
        <f t="shared" si="87"/>
        <v/>
      </c>
      <c r="HX45" s="17" t="str">
        <f t="shared" si="87"/>
        <v/>
      </c>
      <c r="HY45" s="17" t="str">
        <f t="shared" si="87"/>
        <v/>
      </c>
      <c r="HZ45" s="17" t="str">
        <f t="shared" si="87"/>
        <v/>
      </c>
      <c r="IA45" s="17" t="str">
        <f t="shared" si="87"/>
        <v/>
      </c>
    </row>
    <row r="46" spans="1:235" ht="25.95" customHeight="1" x14ac:dyDescent="0.3">
      <c r="A46" s="7">
        <v>41</v>
      </c>
      <c r="B46" s="7">
        <f>Premissas!$B$6</f>
        <v>6</v>
      </c>
      <c r="C46" s="7">
        <f>40*Premissas!$B$8</f>
        <v>484.84848484848493</v>
      </c>
      <c r="D46" s="7">
        <f>C46+Premissas!$B$9</f>
        <v>532.84848484848499</v>
      </c>
      <c r="E46" s="7">
        <f>C46+Premissas!$B$11</f>
        <v>538.84848484848499</v>
      </c>
      <c r="F46" s="7">
        <f>E46+Premissas!$B$8</f>
        <v>550.96969696969711</v>
      </c>
      <c r="G46" s="7">
        <f>Premissas!$B$11</f>
        <v>54</v>
      </c>
      <c r="H46" s="7">
        <f>Premissas!$B$12</f>
        <v>3</v>
      </c>
      <c r="I46" s="7" t="s">
        <v>47</v>
      </c>
      <c r="J46" s="8" t="s">
        <v>48</v>
      </c>
      <c r="K46" s="17" t="str">
        <f t="shared" ref="K46:T55" si="88">IF(AND(K$4&gt;=$C46,K$4&lt;$D46),"R",IF(AND(K$4&gt;=$D46,K$4&lt;$E46),"P",IF(AND(K$4&gt;=$E46,K$4&lt;$F46),"T","")))</f>
        <v/>
      </c>
      <c r="L46" s="17" t="str">
        <f t="shared" si="88"/>
        <v/>
      </c>
      <c r="M46" s="17" t="str">
        <f t="shared" si="88"/>
        <v/>
      </c>
      <c r="N46" s="17" t="str">
        <f t="shared" si="88"/>
        <v/>
      </c>
      <c r="O46" s="17" t="str">
        <f t="shared" si="88"/>
        <v/>
      </c>
      <c r="P46" s="17" t="str">
        <f t="shared" si="88"/>
        <v/>
      </c>
      <c r="Q46" s="17" t="str">
        <f t="shared" si="88"/>
        <v/>
      </c>
      <c r="R46" s="17" t="str">
        <f t="shared" si="88"/>
        <v/>
      </c>
      <c r="S46" s="17" t="str">
        <f t="shared" si="88"/>
        <v/>
      </c>
      <c r="T46" s="17" t="str">
        <f t="shared" si="88"/>
        <v/>
      </c>
      <c r="U46" s="17" t="str">
        <f t="shared" ref="U46:AD55" si="89">IF(AND(U$4&gt;=$C46,U$4&lt;$D46),"R",IF(AND(U$4&gt;=$D46,U$4&lt;$E46),"P",IF(AND(U$4&gt;=$E46,U$4&lt;$F46),"T","")))</f>
        <v/>
      </c>
      <c r="V46" s="17" t="str">
        <f t="shared" si="89"/>
        <v/>
      </c>
      <c r="W46" s="17" t="str">
        <f t="shared" si="89"/>
        <v/>
      </c>
      <c r="X46" s="17" t="str">
        <f t="shared" si="89"/>
        <v/>
      </c>
      <c r="Y46" s="17" t="str">
        <f t="shared" si="89"/>
        <v/>
      </c>
      <c r="Z46" s="17" t="str">
        <f t="shared" si="89"/>
        <v/>
      </c>
      <c r="AA46" s="17" t="str">
        <f t="shared" si="89"/>
        <v/>
      </c>
      <c r="AB46" s="17" t="str">
        <f t="shared" si="89"/>
        <v/>
      </c>
      <c r="AC46" s="17" t="str">
        <f t="shared" si="89"/>
        <v/>
      </c>
      <c r="AD46" s="17" t="str">
        <f t="shared" si="89"/>
        <v/>
      </c>
      <c r="AE46" s="17" t="str">
        <f t="shared" ref="AE46:AN55" si="90">IF(AND(AE$4&gt;=$C46,AE$4&lt;$D46),"R",IF(AND(AE$4&gt;=$D46,AE$4&lt;$E46),"P",IF(AND(AE$4&gt;=$E46,AE$4&lt;$F46),"T","")))</f>
        <v/>
      </c>
      <c r="AF46" s="17" t="str">
        <f t="shared" si="90"/>
        <v/>
      </c>
      <c r="AG46" s="17" t="str">
        <f t="shared" si="90"/>
        <v/>
      </c>
      <c r="AH46" s="17" t="str">
        <f t="shared" si="90"/>
        <v/>
      </c>
      <c r="AI46" s="17" t="str">
        <f t="shared" si="90"/>
        <v/>
      </c>
      <c r="AJ46" s="17" t="str">
        <f t="shared" si="90"/>
        <v/>
      </c>
      <c r="AK46" s="17" t="str">
        <f t="shared" si="90"/>
        <v/>
      </c>
      <c r="AL46" s="17" t="str">
        <f t="shared" si="90"/>
        <v/>
      </c>
      <c r="AM46" s="17" t="str">
        <f t="shared" si="90"/>
        <v/>
      </c>
      <c r="AN46" s="17" t="str">
        <f t="shared" si="90"/>
        <v/>
      </c>
      <c r="AO46" s="17" t="str">
        <f t="shared" ref="AO46:AX55" si="91">IF(AND(AO$4&gt;=$C46,AO$4&lt;$D46),"R",IF(AND(AO$4&gt;=$D46,AO$4&lt;$E46),"P",IF(AND(AO$4&gt;=$E46,AO$4&lt;$F46),"T","")))</f>
        <v/>
      </c>
      <c r="AP46" s="17" t="str">
        <f t="shared" si="91"/>
        <v/>
      </c>
      <c r="AQ46" s="17" t="str">
        <f t="shared" si="91"/>
        <v/>
      </c>
      <c r="AR46" s="17" t="str">
        <f t="shared" si="91"/>
        <v/>
      </c>
      <c r="AS46" s="17" t="str">
        <f t="shared" si="91"/>
        <v/>
      </c>
      <c r="AT46" s="17" t="str">
        <f t="shared" si="91"/>
        <v/>
      </c>
      <c r="AU46" s="17" t="str">
        <f t="shared" si="91"/>
        <v/>
      </c>
      <c r="AV46" s="17" t="str">
        <f t="shared" si="91"/>
        <v/>
      </c>
      <c r="AW46" s="17" t="str">
        <f t="shared" si="91"/>
        <v/>
      </c>
      <c r="AX46" s="17" t="str">
        <f t="shared" si="91"/>
        <v/>
      </c>
      <c r="AY46" s="17" t="str">
        <f t="shared" ref="AY46:BH55" si="92">IF(AND(AY$4&gt;=$C46,AY$4&lt;$D46),"R",IF(AND(AY$4&gt;=$D46,AY$4&lt;$E46),"P",IF(AND(AY$4&gt;=$E46,AY$4&lt;$F46),"T","")))</f>
        <v/>
      </c>
      <c r="AZ46" s="17" t="str">
        <f t="shared" si="92"/>
        <v/>
      </c>
      <c r="BA46" s="17" t="str">
        <f t="shared" si="92"/>
        <v/>
      </c>
      <c r="BB46" s="17" t="str">
        <f t="shared" si="92"/>
        <v/>
      </c>
      <c r="BC46" s="17" t="str">
        <f t="shared" si="92"/>
        <v/>
      </c>
      <c r="BD46" s="17" t="str">
        <f t="shared" si="92"/>
        <v/>
      </c>
      <c r="BE46" s="17" t="str">
        <f t="shared" si="92"/>
        <v/>
      </c>
      <c r="BF46" s="17" t="str">
        <f t="shared" si="92"/>
        <v/>
      </c>
      <c r="BG46" s="17" t="str">
        <f t="shared" si="92"/>
        <v/>
      </c>
      <c r="BH46" s="17" t="str">
        <f t="shared" si="92"/>
        <v/>
      </c>
      <c r="BI46" s="17" t="str">
        <f t="shared" ref="BI46:BR55" si="93">IF(AND(BI$4&gt;=$C46,BI$4&lt;$D46),"R",IF(AND(BI$4&gt;=$D46,BI$4&lt;$E46),"P",IF(AND(BI$4&gt;=$E46,BI$4&lt;$F46),"T","")))</f>
        <v/>
      </c>
      <c r="BJ46" s="17" t="str">
        <f t="shared" si="93"/>
        <v/>
      </c>
      <c r="BK46" s="17" t="str">
        <f t="shared" si="93"/>
        <v/>
      </c>
      <c r="BL46" s="17" t="str">
        <f t="shared" si="93"/>
        <v/>
      </c>
      <c r="BM46" s="17" t="str">
        <f t="shared" si="93"/>
        <v/>
      </c>
      <c r="BN46" s="17" t="str">
        <f t="shared" si="93"/>
        <v/>
      </c>
      <c r="BO46" s="17" t="str">
        <f t="shared" si="93"/>
        <v/>
      </c>
      <c r="BP46" s="17" t="str">
        <f t="shared" si="93"/>
        <v/>
      </c>
      <c r="BQ46" s="17" t="str">
        <f t="shared" si="93"/>
        <v/>
      </c>
      <c r="BR46" s="17" t="str">
        <f t="shared" si="93"/>
        <v/>
      </c>
      <c r="BS46" s="17" t="str">
        <f t="shared" ref="BS46:CB55" si="94">IF(AND(BS$4&gt;=$C46,BS$4&lt;$D46),"R",IF(AND(BS$4&gt;=$D46,BS$4&lt;$E46),"P",IF(AND(BS$4&gt;=$E46,BS$4&lt;$F46),"T","")))</f>
        <v/>
      </c>
      <c r="BT46" s="17" t="str">
        <f t="shared" si="94"/>
        <v/>
      </c>
      <c r="BU46" s="17" t="str">
        <f t="shared" si="94"/>
        <v/>
      </c>
      <c r="BV46" s="17" t="str">
        <f t="shared" si="94"/>
        <v/>
      </c>
      <c r="BW46" s="17" t="str">
        <f t="shared" si="94"/>
        <v/>
      </c>
      <c r="BX46" s="17" t="str">
        <f t="shared" si="94"/>
        <v/>
      </c>
      <c r="BY46" s="17" t="str">
        <f t="shared" si="94"/>
        <v/>
      </c>
      <c r="BZ46" s="17" t="str">
        <f t="shared" si="94"/>
        <v/>
      </c>
      <c r="CA46" s="17" t="str">
        <f t="shared" si="94"/>
        <v/>
      </c>
      <c r="CB46" s="17" t="str">
        <f t="shared" si="94"/>
        <v/>
      </c>
      <c r="CC46" s="17" t="str">
        <f t="shared" ref="CC46:CL55" si="95">IF(AND(CC$4&gt;=$C46,CC$4&lt;$D46),"R",IF(AND(CC$4&gt;=$D46,CC$4&lt;$E46),"P",IF(AND(CC$4&gt;=$E46,CC$4&lt;$F46),"T","")))</f>
        <v/>
      </c>
      <c r="CD46" s="17" t="str">
        <f t="shared" si="95"/>
        <v/>
      </c>
      <c r="CE46" s="17" t="str">
        <f t="shared" si="95"/>
        <v/>
      </c>
      <c r="CF46" s="17" t="str">
        <f t="shared" si="95"/>
        <v/>
      </c>
      <c r="CG46" s="17" t="str">
        <f t="shared" si="95"/>
        <v/>
      </c>
      <c r="CH46" s="17" t="str">
        <f t="shared" si="95"/>
        <v/>
      </c>
      <c r="CI46" s="17" t="str">
        <f t="shared" si="95"/>
        <v/>
      </c>
      <c r="CJ46" s="17" t="str">
        <f t="shared" si="95"/>
        <v/>
      </c>
      <c r="CK46" s="17" t="str">
        <f t="shared" si="95"/>
        <v/>
      </c>
      <c r="CL46" s="17" t="str">
        <f t="shared" si="95"/>
        <v/>
      </c>
      <c r="CM46" s="17" t="str">
        <f t="shared" ref="CM46:CV55" si="96">IF(AND(CM$4&gt;=$C46,CM$4&lt;$D46),"R",IF(AND(CM$4&gt;=$D46,CM$4&lt;$E46),"P",IF(AND(CM$4&gt;=$E46,CM$4&lt;$F46),"T","")))</f>
        <v/>
      </c>
      <c r="CN46" s="17" t="str">
        <f t="shared" si="96"/>
        <v/>
      </c>
      <c r="CO46" s="17" t="str">
        <f t="shared" si="96"/>
        <v/>
      </c>
      <c r="CP46" s="17" t="str">
        <f t="shared" si="96"/>
        <v/>
      </c>
      <c r="CQ46" s="17" t="str">
        <f t="shared" si="96"/>
        <v/>
      </c>
      <c r="CR46" s="17" t="str">
        <f t="shared" si="96"/>
        <v/>
      </c>
      <c r="CS46" s="17" t="str">
        <f t="shared" si="96"/>
        <v/>
      </c>
      <c r="CT46" s="17" t="str">
        <f t="shared" si="96"/>
        <v/>
      </c>
      <c r="CU46" s="17" t="str">
        <f t="shared" si="96"/>
        <v/>
      </c>
      <c r="CV46" s="17" t="str">
        <f t="shared" si="96"/>
        <v/>
      </c>
      <c r="CW46" s="17" t="str">
        <f t="shared" ref="CW46:DF55" si="97">IF(AND(CW$4&gt;=$C46,CW$4&lt;$D46),"R",IF(AND(CW$4&gt;=$D46,CW$4&lt;$E46),"P",IF(AND(CW$4&gt;=$E46,CW$4&lt;$F46),"T","")))</f>
        <v/>
      </c>
      <c r="CX46" s="17" t="str">
        <f t="shared" si="97"/>
        <v/>
      </c>
      <c r="CY46" s="17" t="str">
        <f t="shared" si="97"/>
        <v/>
      </c>
      <c r="CZ46" s="17" t="str">
        <f t="shared" si="97"/>
        <v/>
      </c>
      <c r="DA46" s="17" t="str">
        <f t="shared" si="97"/>
        <v/>
      </c>
      <c r="DB46" s="17" t="str">
        <f t="shared" si="97"/>
        <v/>
      </c>
      <c r="DC46" s="17" t="str">
        <f t="shared" si="97"/>
        <v/>
      </c>
      <c r="DD46" s="17" t="str">
        <f t="shared" si="97"/>
        <v/>
      </c>
      <c r="DE46" s="17" t="str">
        <f t="shared" si="97"/>
        <v/>
      </c>
      <c r="DF46" s="17" t="str">
        <f t="shared" si="97"/>
        <v/>
      </c>
      <c r="DG46" s="17" t="str">
        <f t="shared" ref="DG46:DP55" si="98">IF(AND(DG$4&gt;=$C46,DG$4&lt;$D46),"R",IF(AND(DG$4&gt;=$D46,DG$4&lt;$E46),"P",IF(AND(DG$4&gt;=$E46,DG$4&lt;$F46),"T","")))</f>
        <v/>
      </c>
      <c r="DH46" s="17" t="str">
        <f t="shared" si="98"/>
        <v/>
      </c>
      <c r="DI46" s="17" t="str">
        <f t="shared" si="98"/>
        <v/>
      </c>
      <c r="DJ46" s="17" t="str">
        <f t="shared" si="98"/>
        <v/>
      </c>
      <c r="DK46" s="17" t="str">
        <f t="shared" si="98"/>
        <v/>
      </c>
      <c r="DL46" s="17" t="str">
        <f t="shared" si="98"/>
        <v/>
      </c>
      <c r="DM46" s="17" t="str">
        <f t="shared" si="98"/>
        <v/>
      </c>
      <c r="DN46" s="17" t="str">
        <f t="shared" si="98"/>
        <v/>
      </c>
      <c r="DO46" s="17" t="str">
        <f t="shared" si="98"/>
        <v/>
      </c>
      <c r="DP46" s="17" t="str">
        <f t="shared" si="98"/>
        <v/>
      </c>
      <c r="DQ46" s="17" t="str">
        <f t="shared" ref="DQ46:DZ55" si="99">IF(AND(DQ$4&gt;=$C46,DQ$4&lt;$D46),"R",IF(AND(DQ$4&gt;=$D46,DQ$4&lt;$E46),"P",IF(AND(DQ$4&gt;=$E46,DQ$4&lt;$F46),"T","")))</f>
        <v/>
      </c>
      <c r="DR46" s="17" t="str">
        <f t="shared" si="99"/>
        <v/>
      </c>
      <c r="DS46" s="17" t="str">
        <f t="shared" si="99"/>
        <v/>
      </c>
      <c r="DT46" s="17" t="str">
        <f t="shared" si="99"/>
        <v/>
      </c>
      <c r="DU46" s="17" t="str">
        <f t="shared" si="99"/>
        <v/>
      </c>
      <c r="DV46" s="17" t="str">
        <f t="shared" si="99"/>
        <v/>
      </c>
      <c r="DW46" s="17" t="str">
        <f t="shared" si="99"/>
        <v/>
      </c>
      <c r="DX46" s="17" t="str">
        <f t="shared" si="99"/>
        <v/>
      </c>
      <c r="DY46" s="17" t="str">
        <f t="shared" si="99"/>
        <v/>
      </c>
      <c r="DZ46" s="17" t="str">
        <f t="shared" si="99"/>
        <v/>
      </c>
      <c r="EA46" s="17" t="str">
        <f t="shared" ref="EA46:EJ55" si="100">IF(AND(EA$4&gt;=$C46,EA$4&lt;$D46),"R",IF(AND(EA$4&gt;=$D46,EA$4&lt;$E46),"P",IF(AND(EA$4&gt;=$E46,EA$4&lt;$F46),"T","")))</f>
        <v/>
      </c>
      <c r="EB46" s="17" t="str">
        <f t="shared" si="100"/>
        <v/>
      </c>
      <c r="EC46" s="17" t="str">
        <f t="shared" si="100"/>
        <v/>
      </c>
      <c r="ED46" s="17" t="str">
        <f t="shared" si="100"/>
        <v/>
      </c>
      <c r="EE46" s="17" t="str">
        <f t="shared" si="100"/>
        <v/>
      </c>
      <c r="EF46" s="17" t="str">
        <f t="shared" si="100"/>
        <v/>
      </c>
      <c r="EG46" s="17" t="str">
        <f t="shared" si="100"/>
        <v/>
      </c>
      <c r="EH46" s="17" t="str">
        <f t="shared" si="100"/>
        <v/>
      </c>
      <c r="EI46" s="17" t="str">
        <f t="shared" si="100"/>
        <v/>
      </c>
      <c r="EJ46" s="17" t="str">
        <f t="shared" si="100"/>
        <v/>
      </c>
      <c r="EK46" s="17" t="str">
        <f t="shared" ref="EK46:ET55" si="101">IF(AND(EK$4&gt;=$C46,EK$4&lt;$D46),"R",IF(AND(EK$4&gt;=$D46,EK$4&lt;$E46),"P",IF(AND(EK$4&gt;=$E46,EK$4&lt;$F46),"T","")))</f>
        <v/>
      </c>
      <c r="EL46" s="17" t="str">
        <f t="shared" si="101"/>
        <v/>
      </c>
      <c r="EM46" s="17" t="str">
        <f t="shared" si="101"/>
        <v/>
      </c>
      <c r="EN46" s="17" t="str">
        <f t="shared" si="101"/>
        <v/>
      </c>
      <c r="EO46" s="17" t="str">
        <f t="shared" si="101"/>
        <v/>
      </c>
      <c r="EP46" s="17" t="str">
        <f t="shared" si="101"/>
        <v/>
      </c>
      <c r="EQ46" s="17" t="str">
        <f t="shared" si="101"/>
        <v/>
      </c>
      <c r="ER46" s="17" t="str">
        <f t="shared" si="101"/>
        <v/>
      </c>
      <c r="ES46" s="17" t="str">
        <f t="shared" si="101"/>
        <v/>
      </c>
      <c r="ET46" s="17" t="str">
        <f t="shared" si="101"/>
        <v/>
      </c>
      <c r="EU46" s="17" t="str">
        <f t="shared" ref="EU46:FD55" si="102">IF(AND(EU$4&gt;=$C46,EU$4&lt;$D46),"R",IF(AND(EU$4&gt;=$D46,EU$4&lt;$E46),"P",IF(AND(EU$4&gt;=$E46,EU$4&lt;$F46),"T","")))</f>
        <v/>
      </c>
      <c r="EV46" s="17" t="str">
        <f t="shared" si="102"/>
        <v/>
      </c>
      <c r="EW46" s="17" t="str">
        <f t="shared" si="102"/>
        <v/>
      </c>
      <c r="EX46" s="17" t="str">
        <f t="shared" si="102"/>
        <v/>
      </c>
      <c r="EY46" s="17" t="str">
        <f t="shared" si="102"/>
        <v/>
      </c>
      <c r="EZ46" s="17" t="str">
        <f t="shared" si="102"/>
        <v/>
      </c>
      <c r="FA46" s="17" t="str">
        <f t="shared" si="102"/>
        <v/>
      </c>
      <c r="FB46" s="17" t="str">
        <f t="shared" si="102"/>
        <v/>
      </c>
      <c r="FC46" s="17" t="str">
        <f t="shared" si="102"/>
        <v/>
      </c>
      <c r="FD46" s="17" t="str">
        <f t="shared" si="102"/>
        <v/>
      </c>
      <c r="FE46" s="17" t="str">
        <f t="shared" ref="FE46:FN55" si="103">IF(AND(FE$4&gt;=$C46,FE$4&lt;$D46),"R",IF(AND(FE$4&gt;=$D46,FE$4&lt;$E46),"P",IF(AND(FE$4&gt;=$E46,FE$4&lt;$F46),"T","")))</f>
        <v/>
      </c>
      <c r="FF46" s="17" t="str">
        <f t="shared" si="103"/>
        <v/>
      </c>
      <c r="FG46" s="17" t="str">
        <f t="shared" si="103"/>
        <v/>
      </c>
      <c r="FH46" s="17" t="str">
        <f t="shared" si="103"/>
        <v/>
      </c>
      <c r="FI46" s="17" t="str">
        <f t="shared" si="103"/>
        <v/>
      </c>
      <c r="FJ46" s="17" t="str">
        <f t="shared" si="103"/>
        <v/>
      </c>
      <c r="FK46" s="17" t="str">
        <f t="shared" si="103"/>
        <v/>
      </c>
      <c r="FL46" s="17" t="str">
        <f t="shared" si="103"/>
        <v/>
      </c>
      <c r="FM46" s="17" t="str">
        <f t="shared" si="103"/>
        <v/>
      </c>
      <c r="FN46" s="17" t="str">
        <f t="shared" si="103"/>
        <v/>
      </c>
      <c r="FO46" s="17" t="str">
        <f t="shared" ref="FO46:FX55" si="104">IF(AND(FO$4&gt;=$C46,FO$4&lt;$D46),"R",IF(AND(FO$4&gt;=$D46,FO$4&lt;$E46),"P",IF(AND(FO$4&gt;=$E46,FO$4&lt;$F46),"T","")))</f>
        <v/>
      </c>
      <c r="FP46" s="17" t="str">
        <f t="shared" si="104"/>
        <v/>
      </c>
      <c r="FQ46" s="17" t="str">
        <f t="shared" si="104"/>
        <v>R</v>
      </c>
      <c r="FR46" s="17" t="str">
        <f t="shared" si="104"/>
        <v>R</v>
      </c>
      <c r="FS46" s="17" t="str">
        <f t="shared" si="104"/>
        <v>R</v>
      </c>
      <c r="FT46" s="17" t="str">
        <f t="shared" si="104"/>
        <v>R</v>
      </c>
      <c r="FU46" s="17" t="str">
        <f t="shared" si="104"/>
        <v>R</v>
      </c>
      <c r="FV46" s="17" t="str">
        <f t="shared" si="104"/>
        <v>R</v>
      </c>
      <c r="FW46" s="17" t="str">
        <f t="shared" si="104"/>
        <v>R</v>
      </c>
      <c r="FX46" s="17" t="str">
        <f t="shared" si="104"/>
        <v>R</v>
      </c>
      <c r="FY46" s="17" t="str">
        <f t="shared" ref="FY46:GH55" si="105">IF(AND(FY$4&gt;=$C46,FY$4&lt;$D46),"R",IF(AND(FY$4&gt;=$D46,FY$4&lt;$E46),"P",IF(AND(FY$4&gt;=$E46,FY$4&lt;$F46),"T","")))</f>
        <v>R</v>
      </c>
      <c r="FZ46" s="17" t="str">
        <f t="shared" si="105"/>
        <v>R</v>
      </c>
      <c r="GA46" s="17" t="str">
        <f t="shared" si="105"/>
        <v>R</v>
      </c>
      <c r="GB46" s="17" t="str">
        <f t="shared" si="105"/>
        <v>R</v>
      </c>
      <c r="GC46" s="17" t="str">
        <f t="shared" si="105"/>
        <v>R</v>
      </c>
      <c r="GD46" s="17" t="str">
        <f t="shared" si="105"/>
        <v>R</v>
      </c>
      <c r="GE46" s="17" t="str">
        <f t="shared" si="105"/>
        <v>R</v>
      </c>
      <c r="GF46" s="17" t="str">
        <f t="shared" si="105"/>
        <v>R</v>
      </c>
      <c r="GG46" s="17" t="str">
        <f t="shared" si="105"/>
        <v>P</v>
      </c>
      <c r="GH46" s="17" t="str">
        <f t="shared" si="105"/>
        <v>P</v>
      </c>
      <c r="GI46" s="17" t="str">
        <f t="shared" ref="GI46:GR55" si="106">IF(AND(GI$4&gt;=$C46,GI$4&lt;$D46),"R",IF(AND(GI$4&gt;=$D46,GI$4&lt;$E46),"P",IF(AND(GI$4&gt;=$E46,GI$4&lt;$F46),"T","")))</f>
        <v>T</v>
      </c>
      <c r="GJ46" s="17" t="str">
        <f t="shared" si="106"/>
        <v>T</v>
      </c>
      <c r="GK46" s="17" t="str">
        <f t="shared" si="106"/>
        <v>T</v>
      </c>
      <c r="GL46" s="17" t="str">
        <f t="shared" si="106"/>
        <v>T</v>
      </c>
      <c r="GM46" s="17" t="str">
        <f t="shared" si="106"/>
        <v/>
      </c>
      <c r="GN46" s="17" t="str">
        <f t="shared" si="106"/>
        <v/>
      </c>
      <c r="GO46" s="17" t="str">
        <f t="shared" si="106"/>
        <v/>
      </c>
      <c r="GP46" s="17" t="str">
        <f t="shared" si="106"/>
        <v/>
      </c>
      <c r="GQ46" s="17" t="str">
        <f t="shared" si="106"/>
        <v/>
      </c>
      <c r="GR46" s="17" t="str">
        <f t="shared" si="106"/>
        <v/>
      </c>
      <c r="GS46" s="17" t="str">
        <f t="shared" ref="GS46:HB55" si="107">IF(AND(GS$4&gt;=$C46,GS$4&lt;$D46),"R",IF(AND(GS$4&gt;=$D46,GS$4&lt;$E46),"P",IF(AND(GS$4&gt;=$E46,GS$4&lt;$F46),"T","")))</f>
        <v/>
      </c>
      <c r="GT46" s="17" t="str">
        <f t="shared" si="107"/>
        <v/>
      </c>
      <c r="GU46" s="17" t="str">
        <f t="shared" si="107"/>
        <v/>
      </c>
      <c r="GV46" s="17" t="str">
        <f t="shared" si="107"/>
        <v/>
      </c>
      <c r="GW46" s="17" t="str">
        <f t="shared" si="107"/>
        <v/>
      </c>
      <c r="GX46" s="17" t="str">
        <f t="shared" si="107"/>
        <v/>
      </c>
      <c r="GY46" s="17" t="str">
        <f t="shared" si="107"/>
        <v/>
      </c>
      <c r="GZ46" s="17" t="str">
        <f t="shared" si="107"/>
        <v/>
      </c>
      <c r="HA46" s="17" t="str">
        <f t="shared" si="107"/>
        <v/>
      </c>
      <c r="HB46" s="17" t="str">
        <f t="shared" si="107"/>
        <v/>
      </c>
      <c r="HC46" s="17" t="str">
        <f t="shared" ref="HC46:HL55" si="108">IF(AND(HC$4&gt;=$C46,HC$4&lt;$D46),"R",IF(AND(HC$4&gt;=$D46,HC$4&lt;$E46),"P",IF(AND(HC$4&gt;=$E46,HC$4&lt;$F46),"T","")))</f>
        <v/>
      </c>
      <c r="HD46" s="17" t="str">
        <f t="shared" si="108"/>
        <v/>
      </c>
      <c r="HE46" s="17" t="str">
        <f t="shared" si="108"/>
        <v/>
      </c>
      <c r="HF46" s="17" t="str">
        <f t="shared" si="108"/>
        <v/>
      </c>
      <c r="HG46" s="17" t="str">
        <f t="shared" si="108"/>
        <v/>
      </c>
      <c r="HH46" s="17" t="str">
        <f t="shared" si="108"/>
        <v/>
      </c>
      <c r="HI46" s="17" t="str">
        <f t="shared" si="108"/>
        <v/>
      </c>
      <c r="HJ46" s="17" t="str">
        <f t="shared" si="108"/>
        <v/>
      </c>
      <c r="HK46" s="17" t="str">
        <f t="shared" si="108"/>
        <v/>
      </c>
      <c r="HL46" s="17" t="str">
        <f t="shared" si="108"/>
        <v/>
      </c>
      <c r="HM46" s="17" t="str">
        <f t="shared" ref="HM46:IA55" si="109">IF(AND(HM$4&gt;=$C46,HM$4&lt;$D46),"R",IF(AND(HM$4&gt;=$D46,HM$4&lt;$E46),"P",IF(AND(HM$4&gt;=$E46,HM$4&lt;$F46),"T","")))</f>
        <v/>
      </c>
      <c r="HN46" s="17" t="str">
        <f t="shared" si="109"/>
        <v/>
      </c>
      <c r="HO46" s="17" t="str">
        <f t="shared" si="109"/>
        <v/>
      </c>
      <c r="HP46" s="17" t="str">
        <f t="shared" si="109"/>
        <v/>
      </c>
      <c r="HQ46" s="17" t="str">
        <f t="shared" si="109"/>
        <v/>
      </c>
      <c r="HR46" s="17" t="str">
        <f t="shared" si="109"/>
        <v/>
      </c>
      <c r="HS46" s="17" t="str">
        <f t="shared" si="109"/>
        <v/>
      </c>
      <c r="HT46" s="17" t="str">
        <f t="shared" si="109"/>
        <v/>
      </c>
      <c r="HU46" s="17" t="str">
        <f t="shared" si="109"/>
        <v/>
      </c>
      <c r="HV46" s="17" t="str">
        <f t="shared" si="109"/>
        <v/>
      </c>
      <c r="HW46" s="17" t="str">
        <f t="shared" si="109"/>
        <v/>
      </c>
      <c r="HX46" s="17" t="str">
        <f t="shared" si="109"/>
        <v/>
      </c>
      <c r="HY46" s="17" t="str">
        <f t="shared" si="109"/>
        <v/>
      </c>
      <c r="HZ46" s="17" t="str">
        <f t="shared" si="109"/>
        <v/>
      </c>
      <c r="IA46" s="17" t="str">
        <f t="shared" si="109"/>
        <v/>
      </c>
    </row>
    <row r="47" spans="1:235" ht="25.95" customHeight="1" x14ac:dyDescent="0.3">
      <c r="A47" s="7">
        <v>42</v>
      </c>
      <c r="B47" s="7">
        <f>Premissas!$B$6</f>
        <v>6</v>
      </c>
      <c r="C47" s="7">
        <f>41*Premissas!$B$8</f>
        <v>496.96969696969705</v>
      </c>
      <c r="D47" s="7">
        <f>C47+Premissas!$B$9</f>
        <v>544.969696969697</v>
      </c>
      <c r="E47" s="7">
        <f>C47+Premissas!$B$11</f>
        <v>550.969696969697</v>
      </c>
      <c r="F47" s="7">
        <f>E47+Premissas!$B$8</f>
        <v>563.09090909090912</v>
      </c>
      <c r="G47" s="7">
        <f>Premissas!$B$11</f>
        <v>54</v>
      </c>
      <c r="H47" s="7">
        <f>Premissas!$B$12</f>
        <v>3</v>
      </c>
      <c r="I47" s="7" t="s">
        <v>47</v>
      </c>
      <c r="J47" s="8" t="s">
        <v>48</v>
      </c>
      <c r="K47" s="17" t="str">
        <f t="shared" si="88"/>
        <v/>
      </c>
      <c r="L47" s="17" t="str">
        <f t="shared" si="88"/>
        <v/>
      </c>
      <c r="M47" s="17" t="str">
        <f t="shared" si="88"/>
        <v/>
      </c>
      <c r="N47" s="17" t="str">
        <f t="shared" si="88"/>
        <v/>
      </c>
      <c r="O47" s="17" t="str">
        <f t="shared" si="88"/>
        <v/>
      </c>
      <c r="P47" s="17" t="str">
        <f t="shared" si="88"/>
        <v/>
      </c>
      <c r="Q47" s="17" t="str">
        <f t="shared" si="88"/>
        <v/>
      </c>
      <c r="R47" s="17" t="str">
        <f t="shared" si="88"/>
        <v/>
      </c>
      <c r="S47" s="17" t="str">
        <f t="shared" si="88"/>
        <v/>
      </c>
      <c r="T47" s="17" t="str">
        <f t="shared" si="88"/>
        <v/>
      </c>
      <c r="U47" s="17" t="str">
        <f t="shared" si="89"/>
        <v/>
      </c>
      <c r="V47" s="17" t="str">
        <f t="shared" si="89"/>
        <v/>
      </c>
      <c r="W47" s="17" t="str">
        <f t="shared" si="89"/>
        <v/>
      </c>
      <c r="X47" s="17" t="str">
        <f t="shared" si="89"/>
        <v/>
      </c>
      <c r="Y47" s="17" t="str">
        <f t="shared" si="89"/>
        <v/>
      </c>
      <c r="Z47" s="17" t="str">
        <f t="shared" si="89"/>
        <v/>
      </c>
      <c r="AA47" s="17" t="str">
        <f t="shared" si="89"/>
        <v/>
      </c>
      <c r="AB47" s="17" t="str">
        <f t="shared" si="89"/>
        <v/>
      </c>
      <c r="AC47" s="17" t="str">
        <f t="shared" si="89"/>
        <v/>
      </c>
      <c r="AD47" s="17" t="str">
        <f t="shared" si="89"/>
        <v/>
      </c>
      <c r="AE47" s="17" t="str">
        <f t="shared" si="90"/>
        <v/>
      </c>
      <c r="AF47" s="17" t="str">
        <f t="shared" si="90"/>
        <v/>
      </c>
      <c r="AG47" s="17" t="str">
        <f t="shared" si="90"/>
        <v/>
      </c>
      <c r="AH47" s="17" t="str">
        <f t="shared" si="90"/>
        <v/>
      </c>
      <c r="AI47" s="17" t="str">
        <f t="shared" si="90"/>
        <v/>
      </c>
      <c r="AJ47" s="17" t="str">
        <f t="shared" si="90"/>
        <v/>
      </c>
      <c r="AK47" s="17" t="str">
        <f t="shared" si="90"/>
        <v/>
      </c>
      <c r="AL47" s="17" t="str">
        <f t="shared" si="90"/>
        <v/>
      </c>
      <c r="AM47" s="17" t="str">
        <f t="shared" si="90"/>
        <v/>
      </c>
      <c r="AN47" s="17" t="str">
        <f t="shared" si="90"/>
        <v/>
      </c>
      <c r="AO47" s="17" t="str">
        <f t="shared" si="91"/>
        <v/>
      </c>
      <c r="AP47" s="17" t="str">
        <f t="shared" si="91"/>
        <v/>
      </c>
      <c r="AQ47" s="17" t="str">
        <f t="shared" si="91"/>
        <v/>
      </c>
      <c r="AR47" s="17" t="str">
        <f t="shared" si="91"/>
        <v/>
      </c>
      <c r="AS47" s="17" t="str">
        <f t="shared" si="91"/>
        <v/>
      </c>
      <c r="AT47" s="17" t="str">
        <f t="shared" si="91"/>
        <v/>
      </c>
      <c r="AU47" s="17" t="str">
        <f t="shared" si="91"/>
        <v/>
      </c>
      <c r="AV47" s="17" t="str">
        <f t="shared" si="91"/>
        <v/>
      </c>
      <c r="AW47" s="17" t="str">
        <f t="shared" si="91"/>
        <v/>
      </c>
      <c r="AX47" s="17" t="str">
        <f t="shared" si="91"/>
        <v/>
      </c>
      <c r="AY47" s="17" t="str">
        <f t="shared" si="92"/>
        <v/>
      </c>
      <c r="AZ47" s="17" t="str">
        <f t="shared" si="92"/>
        <v/>
      </c>
      <c r="BA47" s="17" t="str">
        <f t="shared" si="92"/>
        <v/>
      </c>
      <c r="BB47" s="17" t="str">
        <f t="shared" si="92"/>
        <v/>
      </c>
      <c r="BC47" s="17" t="str">
        <f t="shared" si="92"/>
        <v/>
      </c>
      <c r="BD47" s="17" t="str">
        <f t="shared" si="92"/>
        <v/>
      </c>
      <c r="BE47" s="17" t="str">
        <f t="shared" si="92"/>
        <v/>
      </c>
      <c r="BF47" s="17" t="str">
        <f t="shared" si="92"/>
        <v/>
      </c>
      <c r="BG47" s="17" t="str">
        <f t="shared" si="92"/>
        <v/>
      </c>
      <c r="BH47" s="17" t="str">
        <f t="shared" si="92"/>
        <v/>
      </c>
      <c r="BI47" s="17" t="str">
        <f t="shared" si="93"/>
        <v/>
      </c>
      <c r="BJ47" s="17" t="str">
        <f t="shared" si="93"/>
        <v/>
      </c>
      <c r="BK47" s="17" t="str">
        <f t="shared" si="93"/>
        <v/>
      </c>
      <c r="BL47" s="17" t="str">
        <f t="shared" si="93"/>
        <v/>
      </c>
      <c r="BM47" s="17" t="str">
        <f t="shared" si="93"/>
        <v/>
      </c>
      <c r="BN47" s="17" t="str">
        <f t="shared" si="93"/>
        <v/>
      </c>
      <c r="BO47" s="17" t="str">
        <f t="shared" si="93"/>
        <v/>
      </c>
      <c r="BP47" s="17" t="str">
        <f t="shared" si="93"/>
        <v/>
      </c>
      <c r="BQ47" s="17" t="str">
        <f t="shared" si="93"/>
        <v/>
      </c>
      <c r="BR47" s="17" t="str">
        <f t="shared" si="93"/>
        <v/>
      </c>
      <c r="BS47" s="17" t="str">
        <f t="shared" si="94"/>
        <v/>
      </c>
      <c r="BT47" s="17" t="str">
        <f t="shared" si="94"/>
        <v/>
      </c>
      <c r="BU47" s="17" t="str">
        <f t="shared" si="94"/>
        <v/>
      </c>
      <c r="BV47" s="17" t="str">
        <f t="shared" si="94"/>
        <v/>
      </c>
      <c r="BW47" s="17" t="str">
        <f t="shared" si="94"/>
        <v/>
      </c>
      <c r="BX47" s="17" t="str">
        <f t="shared" si="94"/>
        <v/>
      </c>
      <c r="BY47" s="17" t="str">
        <f t="shared" si="94"/>
        <v/>
      </c>
      <c r="BZ47" s="17" t="str">
        <f t="shared" si="94"/>
        <v/>
      </c>
      <c r="CA47" s="17" t="str">
        <f t="shared" si="94"/>
        <v/>
      </c>
      <c r="CB47" s="17" t="str">
        <f t="shared" si="94"/>
        <v/>
      </c>
      <c r="CC47" s="17" t="str">
        <f t="shared" si="95"/>
        <v/>
      </c>
      <c r="CD47" s="17" t="str">
        <f t="shared" si="95"/>
        <v/>
      </c>
      <c r="CE47" s="17" t="str">
        <f t="shared" si="95"/>
        <v/>
      </c>
      <c r="CF47" s="17" t="str">
        <f t="shared" si="95"/>
        <v/>
      </c>
      <c r="CG47" s="17" t="str">
        <f t="shared" si="95"/>
        <v/>
      </c>
      <c r="CH47" s="17" t="str">
        <f t="shared" si="95"/>
        <v/>
      </c>
      <c r="CI47" s="17" t="str">
        <f t="shared" si="95"/>
        <v/>
      </c>
      <c r="CJ47" s="17" t="str">
        <f t="shared" si="95"/>
        <v/>
      </c>
      <c r="CK47" s="17" t="str">
        <f t="shared" si="95"/>
        <v/>
      </c>
      <c r="CL47" s="17" t="str">
        <f t="shared" si="95"/>
        <v/>
      </c>
      <c r="CM47" s="17" t="str">
        <f t="shared" si="96"/>
        <v/>
      </c>
      <c r="CN47" s="17" t="str">
        <f t="shared" si="96"/>
        <v/>
      </c>
      <c r="CO47" s="17" t="str">
        <f t="shared" si="96"/>
        <v/>
      </c>
      <c r="CP47" s="17" t="str">
        <f t="shared" si="96"/>
        <v/>
      </c>
      <c r="CQ47" s="17" t="str">
        <f t="shared" si="96"/>
        <v/>
      </c>
      <c r="CR47" s="17" t="str">
        <f t="shared" si="96"/>
        <v/>
      </c>
      <c r="CS47" s="17" t="str">
        <f t="shared" si="96"/>
        <v/>
      </c>
      <c r="CT47" s="17" t="str">
        <f t="shared" si="96"/>
        <v/>
      </c>
      <c r="CU47" s="17" t="str">
        <f t="shared" si="96"/>
        <v/>
      </c>
      <c r="CV47" s="17" t="str">
        <f t="shared" si="96"/>
        <v/>
      </c>
      <c r="CW47" s="17" t="str">
        <f t="shared" si="97"/>
        <v/>
      </c>
      <c r="CX47" s="17" t="str">
        <f t="shared" si="97"/>
        <v/>
      </c>
      <c r="CY47" s="17" t="str">
        <f t="shared" si="97"/>
        <v/>
      </c>
      <c r="CZ47" s="17" t="str">
        <f t="shared" si="97"/>
        <v/>
      </c>
      <c r="DA47" s="17" t="str">
        <f t="shared" si="97"/>
        <v/>
      </c>
      <c r="DB47" s="17" t="str">
        <f t="shared" si="97"/>
        <v/>
      </c>
      <c r="DC47" s="17" t="str">
        <f t="shared" si="97"/>
        <v/>
      </c>
      <c r="DD47" s="17" t="str">
        <f t="shared" si="97"/>
        <v/>
      </c>
      <c r="DE47" s="17" t="str">
        <f t="shared" si="97"/>
        <v/>
      </c>
      <c r="DF47" s="17" t="str">
        <f t="shared" si="97"/>
        <v/>
      </c>
      <c r="DG47" s="17" t="str">
        <f t="shared" si="98"/>
        <v/>
      </c>
      <c r="DH47" s="17" t="str">
        <f t="shared" si="98"/>
        <v/>
      </c>
      <c r="DI47" s="17" t="str">
        <f t="shared" si="98"/>
        <v/>
      </c>
      <c r="DJ47" s="17" t="str">
        <f t="shared" si="98"/>
        <v/>
      </c>
      <c r="DK47" s="17" t="str">
        <f t="shared" si="98"/>
        <v/>
      </c>
      <c r="DL47" s="17" t="str">
        <f t="shared" si="98"/>
        <v/>
      </c>
      <c r="DM47" s="17" t="str">
        <f t="shared" si="98"/>
        <v/>
      </c>
      <c r="DN47" s="17" t="str">
        <f t="shared" si="98"/>
        <v/>
      </c>
      <c r="DO47" s="17" t="str">
        <f t="shared" si="98"/>
        <v/>
      </c>
      <c r="DP47" s="17" t="str">
        <f t="shared" si="98"/>
        <v/>
      </c>
      <c r="DQ47" s="17" t="str">
        <f t="shared" si="99"/>
        <v/>
      </c>
      <c r="DR47" s="17" t="str">
        <f t="shared" si="99"/>
        <v/>
      </c>
      <c r="DS47" s="17" t="str">
        <f t="shared" si="99"/>
        <v/>
      </c>
      <c r="DT47" s="17" t="str">
        <f t="shared" si="99"/>
        <v/>
      </c>
      <c r="DU47" s="17" t="str">
        <f t="shared" si="99"/>
        <v/>
      </c>
      <c r="DV47" s="17" t="str">
        <f t="shared" si="99"/>
        <v/>
      </c>
      <c r="DW47" s="17" t="str">
        <f t="shared" si="99"/>
        <v/>
      </c>
      <c r="DX47" s="17" t="str">
        <f t="shared" si="99"/>
        <v/>
      </c>
      <c r="DY47" s="17" t="str">
        <f t="shared" si="99"/>
        <v/>
      </c>
      <c r="DZ47" s="17" t="str">
        <f t="shared" si="99"/>
        <v/>
      </c>
      <c r="EA47" s="17" t="str">
        <f t="shared" si="100"/>
        <v/>
      </c>
      <c r="EB47" s="17" t="str">
        <f t="shared" si="100"/>
        <v/>
      </c>
      <c r="EC47" s="17" t="str">
        <f t="shared" si="100"/>
        <v/>
      </c>
      <c r="ED47" s="17" t="str">
        <f t="shared" si="100"/>
        <v/>
      </c>
      <c r="EE47" s="17" t="str">
        <f t="shared" si="100"/>
        <v/>
      </c>
      <c r="EF47" s="17" t="str">
        <f t="shared" si="100"/>
        <v/>
      </c>
      <c r="EG47" s="17" t="str">
        <f t="shared" si="100"/>
        <v/>
      </c>
      <c r="EH47" s="17" t="str">
        <f t="shared" si="100"/>
        <v/>
      </c>
      <c r="EI47" s="17" t="str">
        <f t="shared" si="100"/>
        <v/>
      </c>
      <c r="EJ47" s="17" t="str">
        <f t="shared" si="100"/>
        <v/>
      </c>
      <c r="EK47" s="17" t="str">
        <f t="shared" si="101"/>
        <v/>
      </c>
      <c r="EL47" s="17" t="str">
        <f t="shared" si="101"/>
        <v/>
      </c>
      <c r="EM47" s="17" t="str">
        <f t="shared" si="101"/>
        <v/>
      </c>
      <c r="EN47" s="17" t="str">
        <f t="shared" si="101"/>
        <v/>
      </c>
      <c r="EO47" s="17" t="str">
        <f t="shared" si="101"/>
        <v/>
      </c>
      <c r="EP47" s="17" t="str">
        <f t="shared" si="101"/>
        <v/>
      </c>
      <c r="EQ47" s="17" t="str">
        <f t="shared" si="101"/>
        <v/>
      </c>
      <c r="ER47" s="17" t="str">
        <f t="shared" si="101"/>
        <v/>
      </c>
      <c r="ES47" s="17" t="str">
        <f t="shared" si="101"/>
        <v/>
      </c>
      <c r="ET47" s="17" t="str">
        <f t="shared" si="101"/>
        <v/>
      </c>
      <c r="EU47" s="17" t="str">
        <f t="shared" si="102"/>
        <v/>
      </c>
      <c r="EV47" s="17" t="str">
        <f t="shared" si="102"/>
        <v/>
      </c>
      <c r="EW47" s="17" t="str">
        <f t="shared" si="102"/>
        <v/>
      </c>
      <c r="EX47" s="17" t="str">
        <f t="shared" si="102"/>
        <v/>
      </c>
      <c r="EY47" s="17" t="str">
        <f t="shared" si="102"/>
        <v/>
      </c>
      <c r="EZ47" s="17" t="str">
        <f t="shared" si="102"/>
        <v/>
      </c>
      <c r="FA47" s="17" t="str">
        <f t="shared" si="102"/>
        <v/>
      </c>
      <c r="FB47" s="17" t="str">
        <f t="shared" si="102"/>
        <v/>
      </c>
      <c r="FC47" s="17" t="str">
        <f t="shared" si="102"/>
        <v/>
      </c>
      <c r="FD47" s="17" t="str">
        <f t="shared" si="102"/>
        <v/>
      </c>
      <c r="FE47" s="17" t="str">
        <f t="shared" si="103"/>
        <v/>
      </c>
      <c r="FF47" s="17" t="str">
        <f t="shared" si="103"/>
        <v/>
      </c>
      <c r="FG47" s="17" t="str">
        <f t="shared" si="103"/>
        <v/>
      </c>
      <c r="FH47" s="17" t="str">
        <f t="shared" si="103"/>
        <v/>
      </c>
      <c r="FI47" s="17" t="str">
        <f t="shared" si="103"/>
        <v/>
      </c>
      <c r="FJ47" s="17" t="str">
        <f t="shared" si="103"/>
        <v/>
      </c>
      <c r="FK47" s="17" t="str">
        <f t="shared" si="103"/>
        <v/>
      </c>
      <c r="FL47" s="17" t="str">
        <f t="shared" si="103"/>
        <v/>
      </c>
      <c r="FM47" s="17" t="str">
        <f t="shared" si="103"/>
        <v/>
      </c>
      <c r="FN47" s="17" t="str">
        <f t="shared" si="103"/>
        <v/>
      </c>
      <c r="FO47" s="17" t="str">
        <f t="shared" si="104"/>
        <v/>
      </c>
      <c r="FP47" s="17" t="str">
        <f t="shared" si="104"/>
        <v/>
      </c>
      <c r="FQ47" s="17" t="str">
        <f t="shared" si="104"/>
        <v/>
      </c>
      <c r="FR47" s="17" t="str">
        <f t="shared" si="104"/>
        <v/>
      </c>
      <c r="FS47" s="17" t="str">
        <f t="shared" si="104"/>
        <v/>
      </c>
      <c r="FT47" s="17" t="str">
        <f t="shared" si="104"/>
        <v/>
      </c>
      <c r="FU47" s="17" t="str">
        <f t="shared" si="104"/>
        <v>R</v>
      </c>
      <c r="FV47" s="17" t="str">
        <f t="shared" si="104"/>
        <v>R</v>
      </c>
      <c r="FW47" s="17" t="str">
        <f t="shared" si="104"/>
        <v>R</v>
      </c>
      <c r="FX47" s="17" t="str">
        <f t="shared" si="104"/>
        <v>R</v>
      </c>
      <c r="FY47" s="17" t="str">
        <f t="shared" si="105"/>
        <v>R</v>
      </c>
      <c r="FZ47" s="17" t="str">
        <f t="shared" si="105"/>
        <v>R</v>
      </c>
      <c r="GA47" s="17" t="str">
        <f t="shared" si="105"/>
        <v>R</v>
      </c>
      <c r="GB47" s="17" t="str">
        <f t="shared" si="105"/>
        <v>R</v>
      </c>
      <c r="GC47" s="17" t="str">
        <f t="shared" si="105"/>
        <v>R</v>
      </c>
      <c r="GD47" s="17" t="str">
        <f t="shared" si="105"/>
        <v>R</v>
      </c>
      <c r="GE47" s="17" t="str">
        <f t="shared" si="105"/>
        <v>R</v>
      </c>
      <c r="GF47" s="17" t="str">
        <f t="shared" si="105"/>
        <v>R</v>
      </c>
      <c r="GG47" s="17" t="str">
        <f t="shared" si="105"/>
        <v>R</v>
      </c>
      <c r="GH47" s="17" t="str">
        <f t="shared" si="105"/>
        <v>R</v>
      </c>
      <c r="GI47" s="17" t="str">
        <f t="shared" si="106"/>
        <v>R</v>
      </c>
      <c r="GJ47" s="17" t="str">
        <f t="shared" si="106"/>
        <v>R</v>
      </c>
      <c r="GK47" s="17" t="str">
        <f t="shared" si="106"/>
        <v>P</v>
      </c>
      <c r="GL47" s="17" t="str">
        <f t="shared" si="106"/>
        <v>P</v>
      </c>
      <c r="GM47" s="17" t="str">
        <f t="shared" si="106"/>
        <v>T</v>
      </c>
      <c r="GN47" s="17" t="str">
        <f t="shared" si="106"/>
        <v>T</v>
      </c>
      <c r="GO47" s="17" t="str">
        <f t="shared" si="106"/>
        <v>T</v>
      </c>
      <c r="GP47" s="17" t="str">
        <f t="shared" si="106"/>
        <v>T</v>
      </c>
      <c r="GQ47" s="17" t="str">
        <f t="shared" si="106"/>
        <v/>
      </c>
      <c r="GR47" s="17" t="str">
        <f t="shared" si="106"/>
        <v/>
      </c>
      <c r="GS47" s="17" t="str">
        <f t="shared" si="107"/>
        <v/>
      </c>
      <c r="GT47" s="17" t="str">
        <f t="shared" si="107"/>
        <v/>
      </c>
      <c r="GU47" s="17" t="str">
        <f t="shared" si="107"/>
        <v/>
      </c>
      <c r="GV47" s="17" t="str">
        <f t="shared" si="107"/>
        <v/>
      </c>
      <c r="GW47" s="17" t="str">
        <f t="shared" si="107"/>
        <v/>
      </c>
      <c r="GX47" s="17" t="str">
        <f t="shared" si="107"/>
        <v/>
      </c>
      <c r="GY47" s="17" t="str">
        <f t="shared" si="107"/>
        <v/>
      </c>
      <c r="GZ47" s="17" t="str">
        <f t="shared" si="107"/>
        <v/>
      </c>
      <c r="HA47" s="17" t="str">
        <f t="shared" si="107"/>
        <v/>
      </c>
      <c r="HB47" s="17" t="str">
        <f t="shared" si="107"/>
        <v/>
      </c>
      <c r="HC47" s="17" t="str">
        <f t="shared" si="108"/>
        <v/>
      </c>
      <c r="HD47" s="17" t="str">
        <f t="shared" si="108"/>
        <v/>
      </c>
      <c r="HE47" s="17" t="str">
        <f t="shared" si="108"/>
        <v/>
      </c>
      <c r="HF47" s="17" t="str">
        <f t="shared" si="108"/>
        <v/>
      </c>
      <c r="HG47" s="17" t="str">
        <f t="shared" si="108"/>
        <v/>
      </c>
      <c r="HH47" s="17" t="str">
        <f t="shared" si="108"/>
        <v/>
      </c>
      <c r="HI47" s="17" t="str">
        <f t="shared" si="108"/>
        <v/>
      </c>
      <c r="HJ47" s="17" t="str">
        <f t="shared" si="108"/>
        <v/>
      </c>
      <c r="HK47" s="17" t="str">
        <f t="shared" si="108"/>
        <v/>
      </c>
      <c r="HL47" s="17" t="str">
        <f t="shared" si="108"/>
        <v/>
      </c>
      <c r="HM47" s="17" t="str">
        <f t="shared" si="109"/>
        <v/>
      </c>
      <c r="HN47" s="17" t="str">
        <f t="shared" si="109"/>
        <v/>
      </c>
      <c r="HO47" s="17" t="str">
        <f t="shared" si="109"/>
        <v/>
      </c>
      <c r="HP47" s="17" t="str">
        <f t="shared" si="109"/>
        <v/>
      </c>
      <c r="HQ47" s="17" t="str">
        <f t="shared" si="109"/>
        <v/>
      </c>
      <c r="HR47" s="17" t="str">
        <f t="shared" si="109"/>
        <v/>
      </c>
      <c r="HS47" s="17" t="str">
        <f t="shared" si="109"/>
        <v/>
      </c>
      <c r="HT47" s="17" t="str">
        <f t="shared" si="109"/>
        <v/>
      </c>
      <c r="HU47" s="17" t="str">
        <f t="shared" si="109"/>
        <v/>
      </c>
      <c r="HV47" s="17" t="str">
        <f t="shared" si="109"/>
        <v/>
      </c>
      <c r="HW47" s="17" t="str">
        <f t="shared" si="109"/>
        <v/>
      </c>
      <c r="HX47" s="17" t="str">
        <f t="shared" si="109"/>
        <v/>
      </c>
      <c r="HY47" s="17" t="str">
        <f t="shared" si="109"/>
        <v/>
      </c>
      <c r="HZ47" s="17" t="str">
        <f t="shared" si="109"/>
        <v/>
      </c>
      <c r="IA47" s="17" t="str">
        <f t="shared" si="109"/>
        <v/>
      </c>
    </row>
    <row r="48" spans="1:235" ht="25.95" customHeight="1" x14ac:dyDescent="0.3">
      <c r="A48" s="7">
        <v>43</v>
      </c>
      <c r="B48" s="7">
        <f>Premissas!$B$6</f>
        <v>6</v>
      </c>
      <c r="C48" s="7">
        <f>42*Premissas!$B$8</f>
        <v>509.09090909090918</v>
      </c>
      <c r="D48" s="7">
        <f>C48+Premissas!$B$9</f>
        <v>557.09090909090924</v>
      </c>
      <c r="E48" s="7">
        <f>C48+Premissas!$B$11</f>
        <v>563.09090909090924</v>
      </c>
      <c r="F48" s="7">
        <f>E48+Premissas!$B$8</f>
        <v>575.21212121212136</v>
      </c>
      <c r="G48" s="7">
        <f>Premissas!$B$11</f>
        <v>54</v>
      </c>
      <c r="H48" s="7">
        <f>Premissas!$B$12</f>
        <v>3</v>
      </c>
      <c r="I48" s="7" t="s">
        <v>47</v>
      </c>
      <c r="J48" s="8" t="s">
        <v>48</v>
      </c>
      <c r="K48" s="17" t="str">
        <f t="shared" si="88"/>
        <v/>
      </c>
      <c r="L48" s="17" t="str">
        <f t="shared" si="88"/>
        <v/>
      </c>
      <c r="M48" s="17" t="str">
        <f t="shared" si="88"/>
        <v/>
      </c>
      <c r="N48" s="17" t="str">
        <f t="shared" si="88"/>
        <v/>
      </c>
      <c r="O48" s="17" t="str">
        <f t="shared" si="88"/>
        <v/>
      </c>
      <c r="P48" s="17" t="str">
        <f t="shared" si="88"/>
        <v/>
      </c>
      <c r="Q48" s="17" t="str">
        <f t="shared" si="88"/>
        <v/>
      </c>
      <c r="R48" s="17" t="str">
        <f t="shared" si="88"/>
        <v/>
      </c>
      <c r="S48" s="17" t="str">
        <f t="shared" si="88"/>
        <v/>
      </c>
      <c r="T48" s="17" t="str">
        <f t="shared" si="88"/>
        <v/>
      </c>
      <c r="U48" s="17" t="str">
        <f t="shared" si="89"/>
        <v/>
      </c>
      <c r="V48" s="17" t="str">
        <f t="shared" si="89"/>
        <v/>
      </c>
      <c r="W48" s="17" t="str">
        <f t="shared" si="89"/>
        <v/>
      </c>
      <c r="X48" s="17" t="str">
        <f t="shared" si="89"/>
        <v/>
      </c>
      <c r="Y48" s="17" t="str">
        <f t="shared" si="89"/>
        <v/>
      </c>
      <c r="Z48" s="17" t="str">
        <f t="shared" si="89"/>
        <v/>
      </c>
      <c r="AA48" s="17" t="str">
        <f t="shared" si="89"/>
        <v/>
      </c>
      <c r="AB48" s="17" t="str">
        <f t="shared" si="89"/>
        <v/>
      </c>
      <c r="AC48" s="17" t="str">
        <f t="shared" si="89"/>
        <v/>
      </c>
      <c r="AD48" s="17" t="str">
        <f t="shared" si="89"/>
        <v/>
      </c>
      <c r="AE48" s="17" t="str">
        <f t="shared" si="90"/>
        <v/>
      </c>
      <c r="AF48" s="17" t="str">
        <f t="shared" si="90"/>
        <v/>
      </c>
      <c r="AG48" s="17" t="str">
        <f t="shared" si="90"/>
        <v/>
      </c>
      <c r="AH48" s="17" t="str">
        <f t="shared" si="90"/>
        <v/>
      </c>
      <c r="AI48" s="17" t="str">
        <f t="shared" si="90"/>
        <v/>
      </c>
      <c r="AJ48" s="17" t="str">
        <f t="shared" si="90"/>
        <v/>
      </c>
      <c r="AK48" s="17" t="str">
        <f t="shared" si="90"/>
        <v/>
      </c>
      <c r="AL48" s="17" t="str">
        <f t="shared" si="90"/>
        <v/>
      </c>
      <c r="AM48" s="17" t="str">
        <f t="shared" si="90"/>
        <v/>
      </c>
      <c r="AN48" s="17" t="str">
        <f t="shared" si="90"/>
        <v/>
      </c>
      <c r="AO48" s="17" t="str">
        <f t="shared" si="91"/>
        <v/>
      </c>
      <c r="AP48" s="17" t="str">
        <f t="shared" si="91"/>
        <v/>
      </c>
      <c r="AQ48" s="17" t="str">
        <f t="shared" si="91"/>
        <v/>
      </c>
      <c r="AR48" s="17" t="str">
        <f t="shared" si="91"/>
        <v/>
      </c>
      <c r="AS48" s="17" t="str">
        <f t="shared" si="91"/>
        <v/>
      </c>
      <c r="AT48" s="17" t="str">
        <f t="shared" si="91"/>
        <v/>
      </c>
      <c r="AU48" s="17" t="str">
        <f t="shared" si="91"/>
        <v/>
      </c>
      <c r="AV48" s="17" t="str">
        <f t="shared" si="91"/>
        <v/>
      </c>
      <c r="AW48" s="17" t="str">
        <f t="shared" si="91"/>
        <v/>
      </c>
      <c r="AX48" s="17" t="str">
        <f t="shared" si="91"/>
        <v/>
      </c>
      <c r="AY48" s="17" t="str">
        <f t="shared" si="92"/>
        <v/>
      </c>
      <c r="AZ48" s="17" t="str">
        <f t="shared" si="92"/>
        <v/>
      </c>
      <c r="BA48" s="17" t="str">
        <f t="shared" si="92"/>
        <v/>
      </c>
      <c r="BB48" s="17" t="str">
        <f t="shared" si="92"/>
        <v/>
      </c>
      <c r="BC48" s="17" t="str">
        <f t="shared" si="92"/>
        <v/>
      </c>
      <c r="BD48" s="17" t="str">
        <f t="shared" si="92"/>
        <v/>
      </c>
      <c r="BE48" s="17" t="str">
        <f t="shared" si="92"/>
        <v/>
      </c>
      <c r="BF48" s="17" t="str">
        <f t="shared" si="92"/>
        <v/>
      </c>
      <c r="BG48" s="17" t="str">
        <f t="shared" si="92"/>
        <v/>
      </c>
      <c r="BH48" s="17" t="str">
        <f t="shared" si="92"/>
        <v/>
      </c>
      <c r="BI48" s="17" t="str">
        <f t="shared" si="93"/>
        <v/>
      </c>
      <c r="BJ48" s="17" t="str">
        <f t="shared" si="93"/>
        <v/>
      </c>
      <c r="BK48" s="17" t="str">
        <f t="shared" si="93"/>
        <v/>
      </c>
      <c r="BL48" s="17" t="str">
        <f t="shared" si="93"/>
        <v/>
      </c>
      <c r="BM48" s="17" t="str">
        <f t="shared" si="93"/>
        <v/>
      </c>
      <c r="BN48" s="17" t="str">
        <f t="shared" si="93"/>
        <v/>
      </c>
      <c r="BO48" s="17" t="str">
        <f t="shared" si="93"/>
        <v/>
      </c>
      <c r="BP48" s="17" t="str">
        <f t="shared" si="93"/>
        <v/>
      </c>
      <c r="BQ48" s="17" t="str">
        <f t="shared" si="93"/>
        <v/>
      </c>
      <c r="BR48" s="17" t="str">
        <f t="shared" si="93"/>
        <v/>
      </c>
      <c r="BS48" s="17" t="str">
        <f t="shared" si="94"/>
        <v/>
      </c>
      <c r="BT48" s="17" t="str">
        <f t="shared" si="94"/>
        <v/>
      </c>
      <c r="BU48" s="17" t="str">
        <f t="shared" si="94"/>
        <v/>
      </c>
      <c r="BV48" s="17" t="str">
        <f t="shared" si="94"/>
        <v/>
      </c>
      <c r="BW48" s="17" t="str">
        <f t="shared" si="94"/>
        <v/>
      </c>
      <c r="BX48" s="17" t="str">
        <f t="shared" si="94"/>
        <v/>
      </c>
      <c r="BY48" s="17" t="str">
        <f t="shared" si="94"/>
        <v/>
      </c>
      <c r="BZ48" s="17" t="str">
        <f t="shared" si="94"/>
        <v/>
      </c>
      <c r="CA48" s="17" t="str">
        <f t="shared" si="94"/>
        <v/>
      </c>
      <c r="CB48" s="17" t="str">
        <f t="shared" si="94"/>
        <v/>
      </c>
      <c r="CC48" s="17" t="str">
        <f t="shared" si="95"/>
        <v/>
      </c>
      <c r="CD48" s="17" t="str">
        <f t="shared" si="95"/>
        <v/>
      </c>
      <c r="CE48" s="17" t="str">
        <f t="shared" si="95"/>
        <v/>
      </c>
      <c r="CF48" s="17" t="str">
        <f t="shared" si="95"/>
        <v/>
      </c>
      <c r="CG48" s="17" t="str">
        <f t="shared" si="95"/>
        <v/>
      </c>
      <c r="CH48" s="17" t="str">
        <f t="shared" si="95"/>
        <v/>
      </c>
      <c r="CI48" s="17" t="str">
        <f t="shared" si="95"/>
        <v/>
      </c>
      <c r="CJ48" s="17" t="str">
        <f t="shared" si="95"/>
        <v/>
      </c>
      <c r="CK48" s="17" t="str">
        <f t="shared" si="95"/>
        <v/>
      </c>
      <c r="CL48" s="17" t="str">
        <f t="shared" si="95"/>
        <v/>
      </c>
      <c r="CM48" s="17" t="str">
        <f t="shared" si="96"/>
        <v/>
      </c>
      <c r="CN48" s="17" t="str">
        <f t="shared" si="96"/>
        <v/>
      </c>
      <c r="CO48" s="17" t="str">
        <f t="shared" si="96"/>
        <v/>
      </c>
      <c r="CP48" s="17" t="str">
        <f t="shared" si="96"/>
        <v/>
      </c>
      <c r="CQ48" s="17" t="str">
        <f t="shared" si="96"/>
        <v/>
      </c>
      <c r="CR48" s="17" t="str">
        <f t="shared" si="96"/>
        <v/>
      </c>
      <c r="CS48" s="17" t="str">
        <f t="shared" si="96"/>
        <v/>
      </c>
      <c r="CT48" s="17" t="str">
        <f t="shared" si="96"/>
        <v/>
      </c>
      <c r="CU48" s="17" t="str">
        <f t="shared" si="96"/>
        <v/>
      </c>
      <c r="CV48" s="17" t="str">
        <f t="shared" si="96"/>
        <v/>
      </c>
      <c r="CW48" s="17" t="str">
        <f t="shared" si="97"/>
        <v/>
      </c>
      <c r="CX48" s="17" t="str">
        <f t="shared" si="97"/>
        <v/>
      </c>
      <c r="CY48" s="17" t="str">
        <f t="shared" si="97"/>
        <v/>
      </c>
      <c r="CZ48" s="17" t="str">
        <f t="shared" si="97"/>
        <v/>
      </c>
      <c r="DA48" s="17" t="str">
        <f t="shared" si="97"/>
        <v/>
      </c>
      <c r="DB48" s="17" t="str">
        <f t="shared" si="97"/>
        <v/>
      </c>
      <c r="DC48" s="17" t="str">
        <f t="shared" si="97"/>
        <v/>
      </c>
      <c r="DD48" s="17" t="str">
        <f t="shared" si="97"/>
        <v/>
      </c>
      <c r="DE48" s="17" t="str">
        <f t="shared" si="97"/>
        <v/>
      </c>
      <c r="DF48" s="17" t="str">
        <f t="shared" si="97"/>
        <v/>
      </c>
      <c r="DG48" s="17" t="str">
        <f t="shared" si="98"/>
        <v/>
      </c>
      <c r="DH48" s="17" t="str">
        <f t="shared" si="98"/>
        <v/>
      </c>
      <c r="DI48" s="17" t="str">
        <f t="shared" si="98"/>
        <v/>
      </c>
      <c r="DJ48" s="17" t="str">
        <f t="shared" si="98"/>
        <v/>
      </c>
      <c r="DK48" s="17" t="str">
        <f t="shared" si="98"/>
        <v/>
      </c>
      <c r="DL48" s="17" t="str">
        <f t="shared" si="98"/>
        <v/>
      </c>
      <c r="DM48" s="17" t="str">
        <f t="shared" si="98"/>
        <v/>
      </c>
      <c r="DN48" s="17" t="str">
        <f t="shared" si="98"/>
        <v/>
      </c>
      <c r="DO48" s="17" t="str">
        <f t="shared" si="98"/>
        <v/>
      </c>
      <c r="DP48" s="17" t="str">
        <f t="shared" si="98"/>
        <v/>
      </c>
      <c r="DQ48" s="17" t="str">
        <f t="shared" si="99"/>
        <v/>
      </c>
      <c r="DR48" s="17" t="str">
        <f t="shared" si="99"/>
        <v/>
      </c>
      <c r="DS48" s="17" t="str">
        <f t="shared" si="99"/>
        <v/>
      </c>
      <c r="DT48" s="17" t="str">
        <f t="shared" si="99"/>
        <v/>
      </c>
      <c r="DU48" s="17" t="str">
        <f t="shared" si="99"/>
        <v/>
      </c>
      <c r="DV48" s="17" t="str">
        <f t="shared" si="99"/>
        <v/>
      </c>
      <c r="DW48" s="17" t="str">
        <f t="shared" si="99"/>
        <v/>
      </c>
      <c r="DX48" s="17" t="str">
        <f t="shared" si="99"/>
        <v/>
      </c>
      <c r="DY48" s="17" t="str">
        <f t="shared" si="99"/>
        <v/>
      </c>
      <c r="DZ48" s="17" t="str">
        <f t="shared" si="99"/>
        <v/>
      </c>
      <c r="EA48" s="17" t="str">
        <f t="shared" si="100"/>
        <v/>
      </c>
      <c r="EB48" s="17" t="str">
        <f t="shared" si="100"/>
        <v/>
      </c>
      <c r="EC48" s="17" t="str">
        <f t="shared" si="100"/>
        <v/>
      </c>
      <c r="ED48" s="17" t="str">
        <f t="shared" si="100"/>
        <v/>
      </c>
      <c r="EE48" s="17" t="str">
        <f t="shared" si="100"/>
        <v/>
      </c>
      <c r="EF48" s="17" t="str">
        <f t="shared" si="100"/>
        <v/>
      </c>
      <c r="EG48" s="17" t="str">
        <f t="shared" si="100"/>
        <v/>
      </c>
      <c r="EH48" s="17" t="str">
        <f t="shared" si="100"/>
        <v/>
      </c>
      <c r="EI48" s="17" t="str">
        <f t="shared" si="100"/>
        <v/>
      </c>
      <c r="EJ48" s="17" t="str">
        <f t="shared" si="100"/>
        <v/>
      </c>
      <c r="EK48" s="17" t="str">
        <f t="shared" si="101"/>
        <v/>
      </c>
      <c r="EL48" s="17" t="str">
        <f t="shared" si="101"/>
        <v/>
      </c>
      <c r="EM48" s="17" t="str">
        <f t="shared" si="101"/>
        <v/>
      </c>
      <c r="EN48" s="17" t="str">
        <f t="shared" si="101"/>
        <v/>
      </c>
      <c r="EO48" s="17" t="str">
        <f t="shared" si="101"/>
        <v/>
      </c>
      <c r="EP48" s="17" t="str">
        <f t="shared" si="101"/>
        <v/>
      </c>
      <c r="EQ48" s="17" t="str">
        <f t="shared" si="101"/>
        <v/>
      </c>
      <c r="ER48" s="17" t="str">
        <f t="shared" si="101"/>
        <v/>
      </c>
      <c r="ES48" s="17" t="str">
        <f t="shared" si="101"/>
        <v/>
      </c>
      <c r="ET48" s="17" t="str">
        <f t="shared" si="101"/>
        <v/>
      </c>
      <c r="EU48" s="17" t="str">
        <f t="shared" si="102"/>
        <v/>
      </c>
      <c r="EV48" s="17" t="str">
        <f t="shared" si="102"/>
        <v/>
      </c>
      <c r="EW48" s="17" t="str">
        <f t="shared" si="102"/>
        <v/>
      </c>
      <c r="EX48" s="17" t="str">
        <f t="shared" si="102"/>
        <v/>
      </c>
      <c r="EY48" s="17" t="str">
        <f t="shared" si="102"/>
        <v/>
      </c>
      <c r="EZ48" s="17" t="str">
        <f t="shared" si="102"/>
        <v/>
      </c>
      <c r="FA48" s="17" t="str">
        <f t="shared" si="102"/>
        <v/>
      </c>
      <c r="FB48" s="17" t="str">
        <f t="shared" si="102"/>
        <v/>
      </c>
      <c r="FC48" s="17" t="str">
        <f t="shared" si="102"/>
        <v/>
      </c>
      <c r="FD48" s="17" t="str">
        <f t="shared" si="102"/>
        <v/>
      </c>
      <c r="FE48" s="17" t="str">
        <f t="shared" si="103"/>
        <v/>
      </c>
      <c r="FF48" s="17" t="str">
        <f t="shared" si="103"/>
        <v/>
      </c>
      <c r="FG48" s="17" t="str">
        <f t="shared" si="103"/>
        <v/>
      </c>
      <c r="FH48" s="17" t="str">
        <f t="shared" si="103"/>
        <v/>
      </c>
      <c r="FI48" s="17" t="str">
        <f t="shared" si="103"/>
        <v/>
      </c>
      <c r="FJ48" s="17" t="str">
        <f t="shared" si="103"/>
        <v/>
      </c>
      <c r="FK48" s="17" t="str">
        <f t="shared" si="103"/>
        <v/>
      </c>
      <c r="FL48" s="17" t="str">
        <f t="shared" si="103"/>
        <v/>
      </c>
      <c r="FM48" s="17" t="str">
        <f t="shared" si="103"/>
        <v/>
      </c>
      <c r="FN48" s="17" t="str">
        <f t="shared" si="103"/>
        <v/>
      </c>
      <c r="FO48" s="17" t="str">
        <f t="shared" si="104"/>
        <v/>
      </c>
      <c r="FP48" s="17" t="str">
        <f t="shared" si="104"/>
        <v/>
      </c>
      <c r="FQ48" s="17" t="str">
        <f t="shared" si="104"/>
        <v/>
      </c>
      <c r="FR48" s="17" t="str">
        <f t="shared" si="104"/>
        <v/>
      </c>
      <c r="FS48" s="17" t="str">
        <f t="shared" si="104"/>
        <v/>
      </c>
      <c r="FT48" s="17" t="str">
        <f t="shared" si="104"/>
        <v/>
      </c>
      <c r="FU48" s="17" t="str">
        <f t="shared" si="104"/>
        <v/>
      </c>
      <c r="FV48" s="17" t="str">
        <f t="shared" si="104"/>
        <v/>
      </c>
      <c r="FW48" s="17" t="str">
        <f t="shared" si="104"/>
        <v/>
      </c>
      <c r="FX48" s="17" t="str">
        <f t="shared" si="104"/>
        <v/>
      </c>
      <c r="FY48" s="17" t="str">
        <f t="shared" si="105"/>
        <v>R</v>
      </c>
      <c r="FZ48" s="17" t="str">
        <f t="shared" si="105"/>
        <v>R</v>
      </c>
      <c r="GA48" s="17" t="str">
        <f t="shared" si="105"/>
        <v>R</v>
      </c>
      <c r="GB48" s="17" t="str">
        <f t="shared" si="105"/>
        <v>R</v>
      </c>
      <c r="GC48" s="17" t="str">
        <f t="shared" si="105"/>
        <v>R</v>
      </c>
      <c r="GD48" s="17" t="str">
        <f t="shared" si="105"/>
        <v>R</v>
      </c>
      <c r="GE48" s="17" t="str">
        <f t="shared" si="105"/>
        <v>R</v>
      </c>
      <c r="GF48" s="17" t="str">
        <f t="shared" si="105"/>
        <v>R</v>
      </c>
      <c r="GG48" s="17" t="str">
        <f t="shared" si="105"/>
        <v>R</v>
      </c>
      <c r="GH48" s="17" t="str">
        <f t="shared" si="105"/>
        <v>R</v>
      </c>
      <c r="GI48" s="17" t="str">
        <f t="shared" si="106"/>
        <v>R</v>
      </c>
      <c r="GJ48" s="17" t="str">
        <f t="shared" si="106"/>
        <v>R</v>
      </c>
      <c r="GK48" s="17" t="str">
        <f t="shared" si="106"/>
        <v>R</v>
      </c>
      <c r="GL48" s="17" t="str">
        <f t="shared" si="106"/>
        <v>R</v>
      </c>
      <c r="GM48" s="17" t="str">
        <f t="shared" si="106"/>
        <v>R</v>
      </c>
      <c r="GN48" s="17" t="str">
        <f t="shared" si="106"/>
        <v>R</v>
      </c>
      <c r="GO48" s="17" t="str">
        <f t="shared" si="106"/>
        <v>P</v>
      </c>
      <c r="GP48" s="17" t="str">
        <f t="shared" si="106"/>
        <v>P</v>
      </c>
      <c r="GQ48" s="17" t="str">
        <f t="shared" si="106"/>
        <v>T</v>
      </c>
      <c r="GR48" s="17" t="str">
        <f t="shared" si="106"/>
        <v>T</v>
      </c>
      <c r="GS48" s="17" t="str">
        <f t="shared" si="107"/>
        <v>T</v>
      </c>
      <c r="GT48" s="17" t="str">
        <f t="shared" si="107"/>
        <v>T</v>
      </c>
      <c r="GU48" s="17" t="str">
        <f t="shared" si="107"/>
        <v/>
      </c>
      <c r="GV48" s="17" t="str">
        <f t="shared" si="107"/>
        <v/>
      </c>
      <c r="GW48" s="17" t="str">
        <f t="shared" si="107"/>
        <v/>
      </c>
      <c r="GX48" s="17" t="str">
        <f t="shared" si="107"/>
        <v/>
      </c>
      <c r="GY48" s="17" t="str">
        <f t="shared" si="107"/>
        <v/>
      </c>
      <c r="GZ48" s="17" t="str">
        <f t="shared" si="107"/>
        <v/>
      </c>
      <c r="HA48" s="17" t="str">
        <f t="shared" si="107"/>
        <v/>
      </c>
      <c r="HB48" s="17" t="str">
        <f t="shared" si="107"/>
        <v/>
      </c>
      <c r="HC48" s="17" t="str">
        <f t="shared" si="108"/>
        <v/>
      </c>
      <c r="HD48" s="17" t="str">
        <f t="shared" si="108"/>
        <v/>
      </c>
      <c r="HE48" s="17" t="str">
        <f t="shared" si="108"/>
        <v/>
      </c>
      <c r="HF48" s="17" t="str">
        <f t="shared" si="108"/>
        <v/>
      </c>
      <c r="HG48" s="17" t="str">
        <f t="shared" si="108"/>
        <v/>
      </c>
      <c r="HH48" s="17" t="str">
        <f t="shared" si="108"/>
        <v/>
      </c>
      <c r="HI48" s="17" t="str">
        <f t="shared" si="108"/>
        <v/>
      </c>
      <c r="HJ48" s="17" t="str">
        <f t="shared" si="108"/>
        <v/>
      </c>
      <c r="HK48" s="17" t="str">
        <f t="shared" si="108"/>
        <v/>
      </c>
      <c r="HL48" s="17" t="str">
        <f t="shared" si="108"/>
        <v/>
      </c>
      <c r="HM48" s="17" t="str">
        <f t="shared" si="109"/>
        <v/>
      </c>
      <c r="HN48" s="17" t="str">
        <f t="shared" si="109"/>
        <v/>
      </c>
      <c r="HO48" s="17" t="str">
        <f t="shared" si="109"/>
        <v/>
      </c>
      <c r="HP48" s="17" t="str">
        <f t="shared" si="109"/>
        <v/>
      </c>
      <c r="HQ48" s="17" t="str">
        <f t="shared" si="109"/>
        <v/>
      </c>
      <c r="HR48" s="17" t="str">
        <f t="shared" si="109"/>
        <v/>
      </c>
      <c r="HS48" s="17" t="str">
        <f t="shared" si="109"/>
        <v/>
      </c>
      <c r="HT48" s="17" t="str">
        <f t="shared" si="109"/>
        <v/>
      </c>
      <c r="HU48" s="17" t="str">
        <f t="shared" si="109"/>
        <v/>
      </c>
      <c r="HV48" s="17" t="str">
        <f t="shared" si="109"/>
        <v/>
      </c>
      <c r="HW48" s="17" t="str">
        <f t="shared" si="109"/>
        <v/>
      </c>
      <c r="HX48" s="17" t="str">
        <f t="shared" si="109"/>
        <v/>
      </c>
      <c r="HY48" s="17" t="str">
        <f t="shared" si="109"/>
        <v/>
      </c>
      <c r="HZ48" s="17" t="str">
        <f t="shared" si="109"/>
        <v/>
      </c>
      <c r="IA48" s="17" t="str">
        <f t="shared" si="109"/>
        <v/>
      </c>
    </row>
    <row r="49" spans="1:235" ht="25.95" customHeight="1" x14ac:dyDescent="0.3">
      <c r="A49" s="7">
        <v>44</v>
      </c>
      <c r="B49" s="7">
        <f>Premissas!$B$6</f>
        <v>6</v>
      </c>
      <c r="C49" s="7">
        <f>43*Premissas!$B$8</f>
        <v>521.21212121212125</v>
      </c>
      <c r="D49" s="7">
        <f>C49+Premissas!$B$9</f>
        <v>569.21212121212125</v>
      </c>
      <c r="E49" s="7">
        <f>C49+Premissas!$B$11</f>
        <v>575.21212121212125</v>
      </c>
      <c r="F49" s="7">
        <f>E49+Premissas!$B$8</f>
        <v>587.33333333333337</v>
      </c>
      <c r="G49" s="7">
        <f>Premissas!$B$11</f>
        <v>54</v>
      </c>
      <c r="H49" s="7">
        <f>Premissas!$B$12</f>
        <v>3</v>
      </c>
      <c r="I49" s="7" t="s">
        <v>47</v>
      </c>
      <c r="J49" s="8" t="s">
        <v>48</v>
      </c>
      <c r="K49" s="17" t="str">
        <f t="shared" si="88"/>
        <v/>
      </c>
      <c r="L49" s="17" t="str">
        <f t="shared" si="88"/>
        <v/>
      </c>
      <c r="M49" s="17" t="str">
        <f t="shared" si="88"/>
        <v/>
      </c>
      <c r="N49" s="17" t="str">
        <f t="shared" si="88"/>
        <v/>
      </c>
      <c r="O49" s="17" t="str">
        <f t="shared" si="88"/>
        <v/>
      </c>
      <c r="P49" s="17" t="str">
        <f t="shared" si="88"/>
        <v/>
      </c>
      <c r="Q49" s="17" t="str">
        <f t="shared" si="88"/>
        <v/>
      </c>
      <c r="R49" s="17" t="str">
        <f t="shared" si="88"/>
        <v/>
      </c>
      <c r="S49" s="17" t="str">
        <f t="shared" si="88"/>
        <v/>
      </c>
      <c r="T49" s="17" t="str">
        <f t="shared" si="88"/>
        <v/>
      </c>
      <c r="U49" s="17" t="str">
        <f t="shared" si="89"/>
        <v/>
      </c>
      <c r="V49" s="17" t="str">
        <f t="shared" si="89"/>
        <v/>
      </c>
      <c r="W49" s="17" t="str">
        <f t="shared" si="89"/>
        <v/>
      </c>
      <c r="X49" s="17" t="str">
        <f t="shared" si="89"/>
        <v/>
      </c>
      <c r="Y49" s="17" t="str">
        <f t="shared" si="89"/>
        <v/>
      </c>
      <c r="Z49" s="17" t="str">
        <f t="shared" si="89"/>
        <v/>
      </c>
      <c r="AA49" s="17" t="str">
        <f t="shared" si="89"/>
        <v/>
      </c>
      <c r="AB49" s="17" t="str">
        <f t="shared" si="89"/>
        <v/>
      </c>
      <c r="AC49" s="17" t="str">
        <f t="shared" si="89"/>
        <v/>
      </c>
      <c r="AD49" s="17" t="str">
        <f t="shared" si="89"/>
        <v/>
      </c>
      <c r="AE49" s="17" t="str">
        <f t="shared" si="90"/>
        <v/>
      </c>
      <c r="AF49" s="17" t="str">
        <f t="shared" si="90"/>
        <v/>
      </c>
      <c r="AG49" s="17" t="str">
        <f t="shared" si="90"/>
        <v/>
      </c>
      <c r="AH49" s="17" t="str">
        <f t="shared" si="90"/>
        <v/>
      </c>
      <c r="AI49" s="17" t="str">
        <f t="shared" si="90"/>
        <v/>
      </c>
      <c r="AJ49" s="17" t="str">
        <f t="shared" si="90"/>
        <v/>
      </c>
      <c r="AK49" s="17" t="str">
        <f t="shared" si="90"/>
        <v/>
      </c>
      <c r="AL49" s="17" t="str">
        <f t="shared" si="90"/>
        <v/>
      </c>
      <c r="AM49" s="17" t="str">
        <f t="shared" si="90"/>
        <v/>
      </c>
      <c r="AN49" s="17" t="str">
        <f t="shared" si="90"/>
        <v/>
      </c>
      <c r="AO49" s="17" t="str">
        <f t="shared" si="91"/>
        <v/>
      </c>
      <c r="AP49" s="17" t="str">
        <f t="shared" si="91"/>
        <v/>
      </c>
      <c r="AQ49" s="17" t="str">
        <f t="shared" si="91"/>
        <v/>
      </c>
      <c r="AR49" s="17" t="str">
        <f t="shared" si="91"/>
        <v/>
      </c>
      <c r="AS49" s="17" t="str">
        <f t="shared" si="91"/>
        <v/>
      </c>
      <c r="AT49" s="17" t="str">
        <f t="shared" si="91"/>
        <v/>
      </c>
      <c r="AU49" s="17" t="str">
        <f t="shared" si="91"/>
        <v/>
      </c>
      <c r="AV49" s="17" t="str">
        <f t="shared" si="91"/>
        <v/>
      </c>
      <c r="AW49" s="17" t="str">
        <f t="shared" si="91"/>
        <v/>
      </c>
      <c r="AX49" s="17" t="str">
        <f t="shared" si="91"/>
        <v/>
      </c>
      <c r="AY49" s="17" t="str">
        <f t="shared" si="92"/>
        <v/>
      </c>
      <c r="AZ49" s="17" t="str">
        <f t="shared" si="92"/>
        <v/>
      </c>
      <c r="BA49" s="17" t="str">
        <f t="shared" si="92"/>
        <v/>
      </c>
      <c r="BB49" s="17" t="str">
        <f t="shared" si="92"/>
        <v/>
      </c>
      <c r="BC49" s="17" t="str">
        <f t="shared" si="92"/>
        <v/>
      </c>
      <c r="BD49" s="17" t="str">
        <f t="shared" si="92"/>
        <v/>
      </c>
      <c r="BE49" s="17" t="str">
        <f t="shared" si="92"/>
        <v/>
      </c>
      <c r="BF49" s="17" t="str">
        <f t="shared" si="92"/>
        <v/>
      </c>
      <c r="BG49" s="17" t="str">
        <f t="shared" si="92"/>
        <v/>
      </c>
      <c r="BH49" s="17" t="str">
        <f t="shared" si="92"/>
        <v/>
      </c>
      <c r="BI49" s="17" t="str">
        <f t="shared" si="93"/>
        <v/>
      </c>
      <c r="BJ49" s="17" t="str">
        <f t="shared" si="93"/>
        <v/>
      </c>
      <c r="BK49" s="17" t="str">
        <f t="shared" si="93"/>
        <v/>
      </c>
      <c r="BL49" s="17" t="str">
        <f t="shared" si="93"/>
        <v/>
      </c>
      <c r="BM49" s="17" t="str">
        <f t="shared" si="93"/>
        <v/>
      </c>
      <c r="BN49" s="17" t="str">
        <f t="shared" si="93"/>
        <v/>
      </c>
      <c r="BO49" s="17" t="str">
        <f t="shared" si="93"/>
        <v/>
      </c>
      <c r="BP49" s="17" t="str">
        <f t="shared" si="93"/>
        <v/>
      </c>
      <c r="BQ49" s="17" t="str">
        <f t="shared" si="93"/>
        <v/>
      </c>
      <c r="BR49" s="17" t="str">
        <f t="shared" si="93"/>
        <v/>
      </c>
      <c r="BS49" s="17" t="str">
        <f t="shared" si="94"/>
        <v/>
      </c>
      <c r="BT49" s="17" t="str">
        <f t="shared" si="94"/>
        <v/>
      </c>
      <c r="BU49" s="17" t="str">
        <f t="shared" si="94"/>
        <v/>
      </c>
      <c r="BV49" s="17" t="str">
        <f t="shared" si="94"/>
        <v/>
      </c>
      <c r="BW49" s="17" t="str">
        <f t="shared" si="94"/>
        <v/>
      </c>
      <c r="BX49" s="17" t="str">
        <f t="shared" si="94"/>
        <v/>
      </c>
      <c r="BY49" s="17" t="str">
        <f t="shared" si="94"/>
        <v/>
      </c>
      <c r="BZ49" s="17" t="str">
        <f t="shared" si="94"/>
        <v/>
      </c>
      <c r="CA49" s="17" t="str">
        <f t="shared" si="94"/>
        <v/>
      </c>
      <c r="CB49" s="17" t="str">
        <f t="shared" si="94"/>
        <v/>
      </c>
      <c r="CC49" s="17" t="str">
        <f t="shared" si="95"/>
        <v/>
      </c>
      <c r="CD49" s="17" t="str">
        <f t="shared" si="95"/>
        <v/>
      </c>
      <c r="CE49" s="17" t="str">
        <f t="shared" si="95"/>
        <v/>
      </c>
      <c r="CF49" s="17" t="str">
        <f t="shared" si="95"/>
        <v/>
      </c>
      <c r="CG49" s="17" t="str">
        <f t="shared" si="95"/>
        <v/>
      </c>
      <c r="CH49" s="17" t="str">
        <f t="shared" si="95"/>
        <v/>
      </c>
      <c r="CI49" s="17" t="str">
        <f t="shared" si="95"/>
        <v/>
      </c>
      <c r="CJ49" s="17" t="str">
        <f t="shared" si="95"/>
        <v/>
      </c>
      <c r="CK49" s="17" t="str">
        <f t="shared" si="95"/>
        <v/>
      </c>
      <c r="CL49" s="17" t="str">
        <f t="shared" si="95"/>
        <v/>
      </c>
      <c r="CM49" s="17" t="str">
        <f t="shared" si="96"/>
        <v/>
      </c>
      <c r="CN49" s="17" t="str">
        <f t="shared" si="96"/>
        <v/>
      </c>
      <c r="CO49" s="17" t="str">
        <f t="shared" si="96"/>
        <v/>
      </c>
      <c r="CP49" s="17" t="str">
        <f t="shared" si="96"/>
        <v/>
      </c>
      <c r="CQ49" s="17" t="str">
        <f t="shared" si="96"/>
        <v/>
      </c>
      <c r="CR49" s="17" t="str">
        <f t="shared" si="96"/>
        <v/>
      </c>
      <c r="CS49" s="17" t="str">
        <f t="shared" si="96"/>
        <v/>
      </c>
      <c r="CT49" s="17" t="str">
        <f t="shared" si="96"/>
        <v/>
      </c>
      <c r="CU49" s="17" t="str">
        <f t="shared" si="96"/>
        <v/>
      </c>
      <c r="CV49" s="17" t="str">
        <f t="shared" si="96"/>
        <v/>
      </c>
      <c r="CW49" s="17" t="str">
        <f t="shared" si="97"/>
        <v/>
      </c>
      <c r="CX49" s="17" t="str">
        <f t="shared" si="97"/>
        <v/>
      </c>
      <c r="CY49" s="17" t="str">
        <f t="shared" si="97"/>
        <v/>
      </c>
      <c r="CZ49" s="17" t="str">
        <f t="shared" si="97"/>
        <v/>
      </c>
      <c r="DA49" s="17" t="str">
        <f t="shared" si="97"/>
        <v/>
      </c>
      <c r="DB49" s="17" t="str">
        <f t="shared" si="97"/>
        <v/>
      </c>
      <c r="DC49" s="17" t="str">
        <f t="shared" si="97"/>
        <v/>
      </c>
      <c r="DD49" s="17" t="str">
        <f t="shared" si="97"/>
        <v/>
      </c>
      <c r="DE49" s="17" t="str">
        <f t="shared" si="97"/>
        <v/>
      </c>
      <c r="DF49" s="17" t="str">
        <f t="shared" si="97"/>
        <v/>
      </c>
      <c r="DG49" s="17" t="str">
        <f t="shared" si="98"/>
        <v/>
      </c>
      <c r="DH49" s="17" t="str">
        <f t="shared" si="98"/>
        <v/>
      </c>
      <c r="DI49" s="17" t="str">
        <f t="shared" si="98"/>
        <v/>
      </c>
      <c r="DJ49" s="17" t="str">
        <f t="shared" si="98"/>
        <v/>
      </c>
      <c r="DK49" s="17" t="str">
        <f t="shared" si="98"/>
        <v/>
      </c>
      <c r="DL49" s="17" t="str">
        <f t="shared" si="98"/>
        <v/>
      </c>
      <c r="DM49" s="17" t="str">
        <f t="shared" si="98"/>
        <v/>
      </c>
      <c r="DN49" s="17" t="str">
        <f t="shared" si="98"/>
        <v/>
      </c>
      <c r="DO49" s="17" t="str">
        <f t="shared" si="98"/>
        <v/>
      </c>
      <c r="DP49" s="17" t="str">
        <f t="shared" si="98"/>
        <v/>
      </c>
      <c r="DQ49" s="17" t="str">
        <f t="shared" si="99"/>
        <v/>
      </c>
      <c r="DR49" s="17" t="str">
        <f t="shared" si="99"/>
        <v/>
      </c>
      <c r="DS49" s="17" t="str">
        <f t="shared" si="99"/>
        <v/>
      </c>
      <c r="DT49" s="17" t="str">
        <f t="shared" si="99"/>
        <v/>
      </c>
      <c r="DU49" s="17" t="str">
        <f t="shared" si="99"/>
        <v/>
      </c>
      <c r="DV49" s="17" t="str">
        <f t="shared" si="99"/>
        <v/>
      </c>
      <c r="DW49" s="17" t="str">
        <f t="shared" si="99"/>
        <v/>
      </c>
      <c r="DX49" s="17" t="str">
        <f t="shared" si="99"/>
        <v/>
      </c>
      <c r="DY49" s="17" t="str">
        <f t="shared" si="99"/>
        <v/>
      </c>
      <c r="DZ49" s="17" t="str">
        <f t="shared" si="99"/>
        <v/>
      </c>
      <c r="EA49" s="17" t="str">
        <f t="shared" si="100"/>
        <v/>
      </c>
      <c r="EB49" s="17" t="str">
        <f t="shared" si="100"/>
        <v/>
      </c>
      <c r="EC49" s="17" t="str">
        <f t="shared" si="100"/>
        <v/>
      </c>
      <c r="ED49" s="17" t="str">
        <f t="shared" si="100"/>
        <v/>
      </c>
      <c r="EE49" s="17" t="str">
        <f t="shared" si="100"/>
        <v/>
      </c>
      <c r="EF49" s="17" t="str">
        <f t="shared" si="100"/>
        <v/>
      </c>
      <c r="EG49" s="17" t="str">
        <f t="shared" si="100"/>
        <v/>
      </c>
      <c r="EH49" s="17" t="str">
        <f t="shared" si="100"/>
        <v/>
      </c>
      <c r="EI49" s="17" t="str">
        <f t="shared" si="100"/>
        <v/>
      </c>
      <c r="EJ49" s="17" t="str">
        <f t="shared" si="100"/>
        <v/>
      </c>
      <c r="EK49" s="17" t="str">
        <f t="shared" si="101"/>
        <v/>
      </c>
      <c r="EL49" s="17" t="str">
        <f t="shared" si="101"/>
        <v/>
      </c>
      <c r="EM49" s="17" t="str">
        <f t="shared" si="101"/>
        <v/>
      </c>
      <c r="EN49" s="17" t="str">
        <f t="shared" si="101"/>
        <v/>
      </c>
      <c r="EO49" s="17" t="str">
        <f t="shared" si="101"/>
        <v/>
      </c>
      <c r="EP49" s="17" t="str">
        <f t="shared" si="101"/>
        <v/>
      </c>
      <c r="EQ49" s="17" t="str">
        <f t="shared" si="101"/>
        <v/>
      </c>
      <c r="ER49" s="17" t="str">
        <f t="shared" si="101"/>
        <v/>
      </c>
      <c r="ES49" s="17" t="str">
        <f t="shared" si="101"/>
        <v/>
      </c>
      <c r="ET49" s="17" t="str">
        <f t="shared" si="101"/>
        <v/>
      </c>
      <c r="EU49" s="17" t="str">
        <f t="shared" si="102"/>
        <v/>
      </c>
      <c r="EV49" s="17" t="str">
        <f t="shared" si="102"/>
        <v/>
      </c>
      <c r="EW49" s="17" t="str">
        <f t="shared" si="102"/>
        <v/>
      </c>
      <c r="EX49" s="17" t="str">
        <f t="shared" si="102"/>
        <v/>
      </c>
      <c r="EY49" s="17" t="str">
        <f t="shared" si="102"/>
        <v/>
      </c>
      <c r="EZ49" s="17" t="str">
        <f t="shared" si="102"/>
        <v/>
      </c>
      <c r="FA49" s="17" t="str">
        <f t="shared" si="102"/>
        <v/>
      </c>
      <c r="FB49" s="17" t="str">
        <f t="shared" si="102"/>
        <v/>
      </c>
      <c r="FC49" s="17" t="str">
        <f t="shared" si="102"/>
        <v/>
      </c>
      <c r="FD49" s="17" t="str">
        <f t="shared" si="102"/>
        <v/>
      </c>
      <c r="FE49" s="17" t="str">
        <f t="shared" si="103"/>
        <v/>
      </c>
      <c r="FF49" s="17" t="str">
        <f t="shared" si="103"/>
        <v/>
      </c>
      <c r="FG49" s="17" t="str">
        <f t="shared" si="103"/>
        <v/>
      </c>
      <c r="FH49" s="17" t="str">
        <f t="shared" si="103"/>
        <v/>
      </c>
      <c r="FI49" s="17" t="str">
        <f t="shared" si="103"/>
        <v/>
      </c>
      <c r="FJ49" s="17" t="str">
        <f t="shared" si="103"/>
        <v/>
      </c>
      <c r="FK49" s="17" t="str">
        <f t="shared" si="103"/>
        <v/>
      </c>
      <c r="FL49" s="17" t="str">
        <f t="shared" si="103"/>
        <v/>
      </c>
      <c r="FM49" s="17" t="str">
        <f t="shared" si="103"/>
        <v/>
      </c>
      <c r="FN49" s="17" t="str">
        <f t="shared" si="103"/>
        <v/>
      </c>
      <c r="FO49" s="17" t="str">
        <f t="shared" si="104"/>
        <v/>
      </c>
      <c r="FP49" s="17" t="str">
        <f t="shared" si="104"/>
        <v/>
      </c>
      <c r="FQ49" s="17" t="str">
        <f t="shared" si="104"/>
        <v/>
      </c>
      <c r="FR49" s="17" t="str">
        <f t="shared" si="104"/>
        <v/>
      </c>
      <c r="FS49" s="17" t="str">
        <f t="shared" si="104"/>
        <v/>
      </c>
      <c r="FT49" s="17" t="str">
        <f t="shared" si="104"/>
        <v/>
      </c>
      <c r="FU49" s="17" t="str">
        <f t="shared" si="104"/>
        <v/>
      </c>
      <c r="FV49" s="17" t="str">
        <f t="shared" si="104"/>
        <v/>
      </c>
      <c r="FW49" s="17" t="str">
        <f t="shared" si="104"/>
        <v/>
      </c>
      <c r="FX49" s="17" t="str">
        <f t="shared" si="104"/>
        <v/>
      </c>
      <c r="FY49" s="17" t="str">
        <f t="shared" si="105"/>
        <v/>
      </c>
      <c r="FZ49" s="17" t="str">
        <f t="shared" si="105"/>
        <v/>
      </c>
      <c r="GA49" s="17" t="str">
        <f t="shared" si="105"/>
        <v/>
      </c>
      <c r="GB49" s="17" t="str">
        <f t="shared" si="105"/>
        <v/>
      </c>
      <c r="GC49" s="17" t="str">
        <f t="shared" si="105"/>
        <v>R</v>
      </c>
      <c r="GD49" s="17" t="str">
        <f t="shared" si="105"/>
        <v>R</v>
      </c>
      <c r="GE49" s="17" t="str">
        <f t="shared" si="105"/>
        <v>R</v>
      </c>
      <c r="GF49" s="17" t="str">
        <f t="shared" si="105"/>
        <v>R</v>
      </c>
      <c r="GG49" s="17" t="str">
        <f t="shared" si="105"/>
        <v>R</v>
      </c>
      <c r="GH49" s="17" t="str">
        <f t="shared" si="105"/>
        <v>R</v>
      </c>
      <c r="GI49" s="17" t="str">
        <f t="shared" si="106"/>
        <v>R</v>
      </c>
      <c r="GJ49" s="17" t="str">
        <f t="shared" si="106"/>
        <v>R</v>
      </c>
      <c r="GK49" s="17" t="str">
        <f t="shared" si="106"/>
        <v>R</v>
      </c>
      <c r="GL49" s="17" t="str">
        <f t="shared" si="106"/>
        <v>R</v>
      </c>
      <c r="GM49" s="17" t="str">
        <f t="shared" si="106"/>
        <v>R</v>
      </c>
      <c r="GN49" s="17" t="str">
        <f t="shared" si="106"/>
        <v>R</v>
      </c>
      <c r="GO49" s="17" t="str">
        <f t="shared" si="106"/>
        <v>R</v>
      </c>
      <c r="GP49" s="17" t="str">
        <f t="shared" si="106"/>
        <v>R</v>
      </c>
      <c r="GQ49" s="17" t="str">
        <f t="shared" si="106"/>
        <v>R</v>
      </c>
      <c r="GR49" s="17" t="str">
        <f t="shared" si="106"/>
        <v>R</v>
      </c>
      <c r="GS49" s="17" t="str">
        <f t="shared" si="107"/>
        <v>P</v>
      </c>
      <c r="GT49" s="17" t="str">
        <f t="shared" si="107"/>
        <v>P</v>
      </c>
      <c r="GU49" s="17" t="str">
        <f t="shared" si="107"/>
        <v>T</v>
      </c>
      <c r="GV49" s="17" t="str">
        <f t="shared" si="107"/>
        <v>T</v>
      </c>
      <c r="GW49" s="17" t="str">
        <f t="shared" si="107"/>
        <v>T</v>
      </c>
      <c r="GX49" s="17" t="str">
        <f t="shared" si="107"/>
        <v>T</v>
      </c>
      <c r="GY49" s="17" t="str">
        <f t="shared" si="107"/>
        <v/>
      </c>
      <c r="GZ49" s="17" t="str">
        <f t="shared" si="107"/>
        <v/>
      </c>
      <c r="HA49" s="17" t="str">
        <f t="shared" si="107"/>
        <v/>
      </c>
      <c r="HB49" s="17" t="str">
        <f t="shared" si="107"/>
        <v/>
      </c>
      <c r="HC49" s="17" t="str">
        <f t="shared" si="108"/>
        <v/>
      </c>
      <c r="HD49" s="17" t="str">
        <f t="shared" si="108"/>
        <v/>
      </c>
      <c r="HE49" s="17" t="str">
        <f t="shared" si="108"/>
        <v/>
      </c>
      <c r="HF49" s="17" t="str">
        <f t="shared" si="108"/>
        <v/>
      </c>
      <c r="HG49" s="17" t="str">
        <f t="shared" si="108"/>
        <v/>
      </c>
      <c r="HH49" s="17" t="str">
        <f t="shared" si="108"/>
        <v/>
      </c>
      <c r="HI49" s="17" t="str">
        <f t="shared" si="108"/>
        <v/>
      </c>
      <c r="HJ49" s="17" t="str">
        <f t="shared" si="108"/>
        <v/>
      </c>
      <c r="HK49" s="17" t="str">
        <f t="shared" si="108"/>
        <v/>
      </c>
      <c r="HL49" s="17" t="str">
        <f t="shared" si="108"/>
        <v/>
      </c>
      <c r="HM49" s="17" t="str">
        <f t="shared" si="109"/>
        <v/>
      </c>
      <c r="HN49" s="17" t="str">
        <f t="shared" si="109"/>
        <v/>
      </c>
      <c r="HO49" s="17" t="str">
        <f t="shared" si="109"/>
        <v/>
      </c>
      <c r="HP49" s="17" t="str">
        <f t="shared" si="109"/>
        <v/>
      </c>
      <c r="HQ49" s="17" t="str">
        <f t="shared" si="109"/>
        <v/>
      </c>
      <c r="HR49" s="17" t="str">
        <f t="shared" si="109"/>
        <v/>
      </c>
      <c r="HS49" s="17" t="str">
        <f t="shared" si="109"/>
        <v/>
      </c>
      <c r="HT49" s="17" t="str">
        <f t="shared" si="109"/>
        <v/>
      </c>
      <c r="HU49" s="17" t="str">
        <f t="shared" si="109"/>
        <v/>
      </c>
      <c r="HV49" s="17" t="str">
        <f t="shared" si="109"/>
        <v/>
      </c>
      <c r="HW49" s="17" t="str">
        <f t="shared" si="109"/>
        <v/>
      </c>
      <c r="HX49" s="17" t="str">
        <f t="shared" si="109"/>
        <v/>
      </c>
      <c r="HY49" s="17" t="str">
        <f t="shared" si="109"/>
        <v/>
      </c>
      <c r="HZ49" s="17" t="str">
        <f t="shared" si="109"/>
        <v/>
      </c>
      <c r="IA49" s="17" t="str">
        <f t="shared" si="109"/>
        <v/>
      </c>
    </row>
    <row r="50" spans="1:235" ht="25.95" customHeight="1" x14ac:dyDescent="0.3">
      <c r="A50" s="7">
        <v>45</v>
      </c>
      <c r="B50" s="7">
        <f>Premissas!$B$6</f>
        <v>6</v>
      </c>
      <c r="C50" s="7">
        <f>44*Premissas!$B$8</f>
        <v>533.33333333333337</v>
      </c>
      <c r="D50" s="7">
        <f>C50+Premissas!$B$9</f>
        <v>581.33333333333337</v>
      </c>
      <c r="E50" s="7">
        <f>C50+Premissas!$B$11</f>
        <v>587.33333333333337</v>
      </c>
      <c r="F50" s="7">
        <f>E50+Premissas!$B$8</f>
        <v>599.4545454545455</v>
      </c>
      <c r="G50" s="7">
        <f>Premissas!$B$11</f>
        <v>54</v>
      </c>
      <c r="H50" s="7">
        <f>Premissas!$B$12</f>
        <v>3</v>
      </c>
      <c r="I50" s="7" t="s">
        <v>47</v>
      </c>
      <c r="J50" s="8" t="s">
        <v>48</v>
      </c>
      <c r="K50" s="17" t="str">
        <f t="shared" si="88"/>
        <v/>
      </c>
      <c r="L50" s="17" t="str">
        <f t="shared" si="88"/>
        <v/>
      </c>
      <c r="M50" s="17" t="str">
        <f t="shared" si="88"/>
        <v/>
      </c>
      <c r="N50" s="17" t="str">
        <f t="shared" si="88"/>
        <v/>
      </c>
      <c r="O50" s="17" t="str">
        <f t="shared" si="88"/>
        <v/>
      </c>
      <c r="P50" s="17" t="str">
        <f t="shared" si="88"/>
        <v/>
      </c>
      <c r="Q50" s="17" t="str">
        <f t="shared" si="88"/>
        <v/>
      </c>
      <c r="R50" s="17" t="str">
        <f t="shared" si="88"/>
        <v/>
      </c>
      <c r="S50" s="17" t="str">
        <f t="shared" si="88"/>
        <v/>
      </c>
      <c r="T50" s="17" t="str">
        <f t="shared" si="88"/>
        <v/>
      </c>
      <c r="U50" s="17" t="str">
        <f t="shared" si="89"/>
        <v/>
      </c>
      <c r="V50" s="17" t="str">
        <f t="shared" si="89"/>
        <v/>
      </c>
      <c r="W50" s="17" t="str">
        <f t="shared" si="89"/>
        <v/>
      </c>
      <c r="X50" s="17" t="str">
        <f t="shared" si="89"/>
        <v/>
      </c>
      <c r="Y50" s="17" t="str">
        <f t="shared" si="89"/>
        <v/>
      </c>
      <c r="Z50" s="17" t="str">
        <f t="shared" si="89"/>
        <v/>
      </c>
      <c r="AA50" s="17" t="str">
        <f t="shared" si="89"/>
        <v/>
      </c>
      <c r="AB50" s="17" t="str">
        <f t="shared" si="89"/>
        <v/>
      </c>
      <c r="AC50" s="17" t="str">
        <f t="shared" si="89"/>
        <v/>
      </c>
      <c r="AD50" s="17" t="str">
        <f t="shared" si="89"/>
        <v/>
      </c>
      <c r="AE50" s="17" t="str">
        <f t="shared" si="90"/>
        <v/>
      </c>
      <c r="AF50" s="17" t="str">
        <f t="shared" si="90"/>
        <v/>
      </c>
      <c r="AG50" s="17" t="str">
        <f t="shared" si="90"/>
        <v/>
      </c>
      <c r="AH50" s="17" t="str">
        <f t="shared" si="90"/>
        <v/>
      </c>
      <c r="AI50" s="17" t="str">
        <f t="shared" si="90"/>
        <v/>
      </c>
      <c r="AJ50" s="17" t="str">
        <f t="shared" si="90"/>
        <v/>
      </c>
      <c r="AK50" s="17" t="str">
        <f t="shared" si="90"/>
        <v/>
      </c>
      <c r="AL50" s="17" t="str">
        <f t="shared" si="90"/>
        <v/>
      </c>
      <c r="AM50" s="17" t="str">
        <f t="shared" si="90"/>
        <v/>
      </c>
      <c r="AN50" s="17" t="str">
        <f t="shared" si="90"/>
        <v/>
      </c>
      <c r="AO50" s="17" t="str">
        <f t="shared" si="91"/>
        <v/>
      </c>
      <c r="AP50" s="17" t="str">
        <f t="shared" si="91"/>
        <v/>
      </c>
      <c r="AQ50" s="17" t="str">
        <f t="shared" si="91"/>
        <v/>
      </c>
      <c r="AR50" s="17" t="str">
        <f t="shared" si="91"/>
        <v/>
      </c>
      <c r="AS50" s="17" t="str">
        <f t="shared" si="91"/>
        <v/>
      </c>
      <c r="AT50" s="17" t="str">
        <f t="shared" si="91"/>
        <v/>
      </c>
      <c r="AU50" s="17" t="str">
        <f t="shared" si="91"/>
        <v/>
      </c>
      <c r="AV50" s="17" t="str">
        <f t="shared" si="91"/>
        <v/>
      </c>
      <c r="AW50" s="17" t="str">
        <f t="shared" si="91"/>
        <v/>
      </c>
      <c r="AX50" s="17" t="str">
        <f t="shared" si="91"/>
        <v/>
      </c>
      <c r="AY50" s="17" t="str">
        <f t="shared" si="92"/>
        <v/>
      </c>
      <c r="AZ50" s="17" t="str">
        <f t="shared" si="92"/>
        <v/>
      </c>
      <c r="BA50" s="17" t="str">
        <f t="shared" si="92"/>
        <v/>
      </c>
      <c r="BB50" s="17" t="str">
        <f t="shared" si="92"/>
        <v/>
      </c>
      <c r="BC50" s="17" t="str">
        <f t="shared" si="92"/>
        <v/>
      </c>
      <c r="BD50" s="17" t="str">
        <f t="shared" si="92"/>
        <v/>
      </c>
      <c r="BE50" s="17" t="str">
        <f t="shared" si="92"/>
        <v/>
      </c>
      <c r="BF50" s="17" t="str">
        <f t="shared" si="92"/>
        <v/>
      </c>
      <c r="BG50" s="17" t="str">
        <f t="shared" si="92"/>
        <v/>
      </c>
      <c r="BH50" s="17" t="str">
        <f t="shared" si="92"/>
        <v/>
      </c>
      <c r="BI50" s="17" t="str">
        <f t="shared" si="93"/>
        <v/>
      </c>
      <c r="BJ50" s="17" t="str">
        <f t="shared" si="93"/>
        <v/>
      </c>
      <c r="BK50" s="17" t="str">
        <f t="shared" si="93"/>
        <v/>
      </c>
      <c r="BL50" s="17" t="str">
        <f t="shared" si="93"/>
        <v/>
      </c>
      <c r="BM50" s="17" t="str">
        <f t="shared" si="93"/>
        <v/>
      </c>
      <c r="BN50" s="17" t="str">
        <f t="shared" si="93"/>
        <v/>
      </c>
      <c r="BO50" s="17" t="str">
        <f t="shared" si="93"/>
        <v/>
      </c>
      <c r="BP50" s="17" t="str">
        <f t="shared" si="93"/>
        <v/>
      </c>
      <c r="BQ50" s="17" t="str">
        <f t="shared" si="93"/>
        <v/>
      </c>
      <c r="BR50" s="17" t="str">
        <f t="shared" si="93"/>
        <v/>
      </c>
      <c r="BS50" s="17" t="str">
        <f t="shared" si="94"/>
        <v/>
      </c>
      <c r="BT50" s="17" t="str">
        <f t="shared" si="94"/>
        <v/>
      </c>
      <c r="BU50" s="17" t="str">
        <f t="shared" si="94"/>
        <v/>
      </c>
      <c r="BV50" s="17" t="str">
        <f t="shared" si="94"/>
        <v/>
      </c>
      <c r="BW50" s="17" t="str">
        <f t="shared" si="94"/>
        <v/>
      </c>
      <c r="BX50" s="17" t="str">
        <f t="shared" si="94"/>
        <v/>
      </c>
      <c r="BY50" s="17" t="str">
        <f t="shared" si="94"/>
        <v/>
      </c>
      <c r="BZ50" s="17" t="str">
        <f t="shared" si="94"/>
        <v/>
      </c>
      <c r="CA50" s="17" t="str">
        <f t="shared" si="94"/>
        <v/>
      </c>
      <c r="CB50" s="17" t="str">
        <f t="shared" si="94"/>
        <v/>
      </c>
      <c r="CC50" s="17" t="str">
        <f t="shared" si="95"/>
        <v/>
      </c>
      <c r="CD50" s="17" t="str">
        <f t="shared" si="95"/>
        <v/>
      </c>
      <c r="CE50" s="17" t="str">
        <f t="shared" si="95"/>
        <v/>
      </c>
      <c r="CF50" s="17" t="str">
        <f t="shared" si="95"/>
        <v/>
      </c>
      <c r="CG50" s="17" t="str">
        <f t="shared" si="95"/>
        <v/>
      </c>
      <c r="CH50" s="17" t="str">
        <f t="shared" si="95"/>
        <v/>
      </c>
      <c r="CI50" s="17" t="str">
        <f t="shared" si="95"/>
        <v/>
      </c>
      <c r="CJ50" s="17" t="str">
        <f t="shared" si="95"/>
        <v/>
      </c>
      <c r="CK50" s="17" t="str">
        <f t="shared" si="95"/>
        <v/>
      </c>
      <c r="CL50" s="17" t="str">
        <f t="shared" si="95"/>
        <v/>
      </c>
      <c r="CM50" s="17" t="str">
        <f t="shared" si="96"/>
        <v/>
      </c>
      <c r="CN50" s="17" t="str">
        <f t="shared" si="96"/>
        <v/>
      </c>
      <c r="CO50" s="17" t="str">
        <f t="shared" si="96"/>
        <v/>
      </c>
      <c r="CP50" s="17" t="str">
        <f t="shared" si="96"/>
        <v/>
      </c>
      <c r="CQ50" s="17" t="str">
        <f t="shared" si="96"/>
        <v/>
      </c>
      <c r="CR50" s="17" t="str">
        <f t="shared" si="96"/>
        <v/>
      </c>
      <c r="CS50" s="17" t="str">
        <f t="shared" si="96"/>
        <v/>
      </c>
      <c r="CT50" s="17" t="str">
        <f t="shared" si="96"/>
        <v/>
      </c>
      <c r="CU50" s="17" t="str">
        <f t="shared" si="96"/>
        <v/>
      </c>
      <c r="CV50" s="17" t="str">
        <f t="shared" si="96"/>
        <v/>
      </c>
      <c r="CW50" s="17" t="str">
        <f t="shared" si="97"/>
        <v/>
      </c>
      <c r="CX50" s="17" t="str">
        <f t="shared" si="97"/>
        <v/>
      </c>
      <c r="CY50" s="17" t="str">
        <f t="shared" si="97"/>
        <v/>
      </c>
      <c r="CZ50" s="17" t="str">
        <f t="shared" si="97"/>
        <v/>
      </c>
      <c r="DA50" s="17" t="str">
        <f t="shared" si="97"/>
        <v/>
      </c>
      <c r="DB50" s="17" t="str">
        <f t="shared" si="97"/>
        <v/>
      </c>
      <c r="DC50" s="17" t="str">
        <f t="shared" si="97"/>
        <v/>
      </c>
      <c r="DD50" s="17" t="str">
        <f t="shared" si="97"/>
        <v/>
      </c>
      <c r="DE50" s="17" t="str">
        <f t="shared" si="97"/>
        <v/>
      </c>
      <c r="DF50" s="17" t="str">
        <f t="shared" si="97"/>
        <v/>
      </c>
      <c r="DG50" s="17" t="str">
        <f t="shared" si="98"/>
        <v/>
      </c>
      <c r="DH50" s="17" t="str">
        <f t="shared" si="98"/>
        <v/>
      </c>
      <c r="DI50" s="17" t="str">
        <f t="shared" si="98"/>
        <v/>
      </c>
      <c r="DJ50" s="17" t="str">
        <f t="shared" si="98"/>
        <v/>
      </c>
      <c r="DK50" s="17" t="str">
        <f t="shared" si="98"/>
        <v/>
      </c>
      <c r="DL50" s="17" t="str">
        <f t="shared" si="98"/>
        <v/>
      </c>
      <c r="DM50" s="17" t="str">
        <f t="shared" si="98"/>
        <v/>
      </c>
      <c r="DN50" s="17" t="str">
        <f t="shared" si="98"/>
        <v/>
      </c>
      <c r="DO50" s="17" t="str">
        <f t="shared" si="98"/>
        <v/>
      </c>
      <c r="DP50" s="17" t="str">
        <f t="shared" si="98"/>
        <v/>
      </c>
      <c r="DQ50" s="17" t="str">
        <f t="shared" si="99"/>
        <v/>
      </c>
      <c r="DR50" s="17" t="str">
        <f t="shared" si="99"/>
        <v/>
      </c>
      <c r="DS50" s="17" t="str">
        <f t="shared" si="99"/>
        <v/>
      </c>
      <c r="DT50" s="17" t="str">
        <f t="shared" si="99"/>
        <v/>
      </c>
      <c r="DU50" s="17" t="str">
        <f t="shared" si="99"/>
        <v/>
      </c>
      <c r="DV50" s="17" t="str">
        <f t="shared" si="99"/>
        <v/>
      </c>
      <c r="DW50" s="17" t="str">
        <f t="shared" si="99"/>
        <v/>
      </c>
      <c r="DX50" s="17" t="str">
        <f t="shared" si="99"/>
        <v/>
      </c>
      <c r="DY50" s="17" t="str">
        <f t="shared" si="99"/>
        <v/>
      </c>
      <c r="DZ50" s="17" t="str">
        <f t="shared" si="99"/>
        <v/>
      </c>
      <c r="EA50" s="17" t="str">
        <f t="shared" si="100"/>
        <v/>
      </c>
      <c r="EB50" s="17" t="str">
        <f t="shared" si="100"/>
        <v/>
      </c>
      <c r="EC50" s="17" t="str">
        <f t="shared" si="100"/>
        <v/>
      </c>
      <c r="ED50" s="17" t="str">
        <f t="shared" si="100"/>
        <v/>
      </c>
      <c r="EE50" s="17" t="str">
        <f t="shared" si="100"/>
        <v/>
      </c>
      <c r="EF50" s="17" t="str">
        <f t="shared" si="100"/>
        <v/>
      </c>
      <c r="EG50" s="17" t="str">
        <f t="shared" si="100"/>
        <v/>
      </c>
      <c r="EH50" s="17" t="str">
        <f t="shared" si="100"/>
        <v/>
      </c>
      <c r="EI50" s="17" t="str">
        <f t="shared" si="100"/>
        <v/>
      </c>
      <c r="EJ50" s="17" t="str">
        <f t="shared" si="100"/>
        <v/>
      </c>
      <c r="EK50" s="17" t="str">
        <f t="shared" si="101"/>
        <v/>
      </c>
      <c r="EL50" s="17" t="str">
        <f t="shared" si="101"/>
        <v/>
      </c>
      <c r="EM50" s="17" t="str">
        <f t="shared" si="101"/>
        <v/>
      </c>
      <c r="EN50" s="17" t="str">
        <f t="shared" si="101"/>
        <v/>
      </c>
      <c r="EO50" s="17" t="str">
        <f t="shared" si="101"/>
        <v/>
      </c>
      <c r="EP50" s="17" t="str">
        <f t="shared" si="101"/>
        <v/>
      </c>
      <c r="EQ50" s="17" t="str">
        <f t="shared" si="101"/>
        <v/>
      </c>
      <c r="ER50" s="17" t="str">
        <f t="shared" si="101"/>
        <v/>
      </c>
      <c r="ES50" s="17" t="str">
        <f t="shared" si="101"/>
        <v/>
      </c>
      <c r="ET50" s="17" t="str">
        <f t="shared" si="101"/>
        <v/>
      </c>
      <c r="EU50" s="17" t="str">
        <f t="shared" si="102"/>
        <v/>
      </c>
      <c r="EV50" s="17" t="str">
        <f t="shared" si="102"/>
        <v/>
      </c>
      <c r="EW50" s="17" t="str">
        <f t="shared" si="102"/>
        <v/>
      </c>
      <c r="EX50" s="17" t="str">
        <f t="shared" si="102"/>
        <v/>
      </c>
      <c r="EY50" s="17" t="str">
        <f t="shared" si="102"/>
        <v/>
      </c>
      <c r="EZ50" s="17" t="str">
        <f t="shared" si="102"/>
        <v/>
      </c>
      <c r="FA50" s="17" t="str">
        <f t="shared" si="102"/>
        <v/>
      </c>
      <c r="FB50" s="17" t="str">
        <f t="shared" si="102"/>
        <v/>
      </c>
      <c r="FC50" s="17" t="str">
        <f t="shared" si="102"/>
        <v/>
      </c>
      <c r="FD50" s="17" t="str">
        <f t="shared" si="102"/>
        <v/>
      </c>
      <c r="FE50" s="17" t="str">
        <f t="shared" si="103"/>
        <v/>
      </c>
      <c r="FF50" s="17" t="str">
        <f t="shared" si="103"/>
        <v/>
      </c>
      <c r="FG50" s="17" t="str">
        <f t="shared" si="103"/>
        <v/>
      </c>
      <c r="FH50" s="17" t="str">
        <f t="shared" si="103"/>
        <v/>
      </c>
      <c r="FI50" s="17" t="str">
        <f t="shared" si="103"/>
        <v/>
      </c>
      <c r="FJ50" s="17" t="str">
        <f t="shared" si="103"/>
        <v/>
      </c>
      <c r="FK50" s="17" t="str">
        <f t="shared" si="103"/>
        <v/>
      </c>
      <c r="FL50" s="17" t="str">
        <f t="shared" si="103"/>
        <v/>
      </c>
      <c r="FM50" s="17" t="str">
        <f t="shared" si="103"/>
        <v/>
      </c>
      <c r="FN50" s="17" t="str">
        <f t="shared" si="103"/>
        <v/>
      </c>
      <c r="FO50" s="17" t="str">
        <f t="shared" si="104"/>
        <v/>
      </c>
      <c r="FP50" s="17" t="str">
        <f t="shared" si="104"/>
        <v/>
      </c>
      <c r="FQ50" s="17" t="str">
        <f t="shared" si="104"/>
        <v/>
      </c>
      <c r="FR50" s="17" t="str">
        <f t="shared" si="104"/>
        <v/>
      </c>
      <c r="FS50" s="17" t="str">
        <f t="shared" si="104"/>
        <v/>
      </c>
      <c r="FT50" s="17" t="str">
        <f t="shared" si="104"/>
        <v/>
      </c>
      <c r="FU50" s="17" t="str">
        <f t="shared" si="104"/>
        <v/>
      </c>
      <c r="FV50" s="17" t="str">
        <f t="shared" si="104"/>
        <v/>
      </c>
      <c r="FW50" s="17" t="str">
        <f t="shared" si="104"/>
        <v/>
      </c>
      <c r="FX50" s="17" t="str">
        <f t="shared" si="104"/>
        <v/>
      </c>
      <c r="FY50" s="17" t="str">
        <f t="shared" si="105"/>
        <v/>
      </c>
      <c r="FZ50" s="17" t="str">
        <f t="shared" si="105"/>
        <v/>
      </c>
      <c r="GA50" s="17" t="str">
        <f t="shared" si="105"/>
        <v/>
      </c>
      <c r="GB50" s="17" t="str">
        <f t="shared" si="105"/>
        <v/>
      </c>
      <c r="GC50" s="17" t="str">
        <f t="shared" si="105"/>
        <v/>
      </c>
      <c r="GD50" s="17" t="str">
        <f t="shared" si="105"/>
        <v/>
      </c>
      <c r="GE50" s="17" t="str">
        <f t="shared" si="105"/>
        <v/>
      </c>
      <c r="GF50" s="17" t="str">
        <f t="shared" si="105"/>
        <v/>
      </c>
      <c r="GG50" s="17" t="str">
        <f t="shared" si="105"/>
        <v>R</v>
      </c>
      <c r="GH50" s="17" t="str">
        <f t="shared" si="105"/>
        <v>R</v>
      </c>
      <c r="GI50" s="17" t="str">
        <f t="shared" si="106"/>
        <v>R</v>
      </c>
      <c r="GJ50" s="17" t="str">
        <f t="shared" si="106"/>
        <v>R</v>
      </c>
      <c r="GK50" s="17" t="str">
        <f t="shared" si="106"/>
        <v>R</v>
      </c>
      <c r="GL50" s="17" t="str">
        <f t="shared" si="106"/>
        <v>R</v>
      </c>
      <c r="GM50" s="17" t="str">
        <f t="shared" si="106"/>
        <v>R</v>
      </c>
      <c r="GN50" s="17" t="str">
        <f t="shared" si="106"/>
        <v>R</v>
      </c>
      <c r="GO50" s="17" t="str">
        <f t="shared" si="106"/>
        <v>R</v>
      </c>
      <c r="GP50" s="17" t="str">
        <f t="shared" si="106"/>
        <v>R</v>
      </c>
      <c r="GQ50" s="17" t="str">
        <f t="shared" si="106"/>
        <v>R</v>
      </c>
      <c r="GR50" s="17" t="str">
        <f t="shared" si="106"/>
        <v>R</v>
      </c>
      <c r="GS50" s="17" t="str">
        <f t="shared" si="107"/>
        <v>R</v>
      </c>
      <c r="GT50" s="17" t="str">
        <f t="shared" si="107"/>
        <v>R</v>
      </c>
      <c r="GU50" s="17" t="str">
        <f t="shared" si="107"/>
        <v>R</v>
      </c>
      <c r="GV50" s="17" t="str">
        <f t="shared" si="107"/>
        <v>R</v>
      </c>
      <c r="GW50" s="17" t="str">
        <f t="shared" si="107"/>
        <v>P</v>
      </c>
      <c r="GX50" s="17" t="str">
        <f t="shared" si="107"/>
        <v>P</v>
      </c>
      <c r="GY50" s="17" t="str">
        <f t="shared" si="107"/>
        <v>T</v>
      </c>
      <c r="GZ50" s="17" t="str">
        <f t="shared" si="107"/>
        <v>T</v>
      </c>
      <c r="HA50" s="17" t="str">
        <f t="shared" si="107"/>
        <v>T</v>
      </c>
      <c r="HB50" s="17" t="str">
        <f t="shared" si="107"/>
        <v>T</v>
      </c>
      <c r="HC50" s="17" t="str">
        <f t="shared" si="108"/>
        <v/>
      </c>
      <c r="HD50" s="17" t="str">
        <f t="shared" si="108"/>
        <v/>
      </c>
      <c r="HE50" s="17" t="str">
        <f t="shared" si="108"/>
        <v/>
      </c>
      <c r="HF50" s="17" t="str">
        <f t="shared" si="108"/>
        <v/>
      </c>
      <c r="HG50" s="17" t="str">
        <f t="shared" si="108"/>
        <v/>
      </c>
      <c r="HH50" s="17" t="str">
        <f t="shared" si="108"/>
        <v/>
      </c>
      <c r="HI50" s="17" t="str">
        <f t="shared" si="108"/>
        <v/>
      </c>
      <c r="HJ50" s="17" t="str">
        <f t="shared" si="108"/>
        <v/>
      </c>
      <c r="HK50" s="17" t="str">
        <f t="shared" si="108"/>
        <v/>
      </c>
      <c r="HL50" s="17" t="str">
        <f t="shared" si="108"/>
        <v/>
      </c>
      <c r="HM50" s="17" t="str">
        <f t="shared" si="109"/>
        <v/>
      </c>
      <c r="HN50" s="17" t="str">
        <f t="shared" si="109"/>
        <v/>
      </c>
      <c r="HO50" s="17" t="str">
        <f t="shared" si="109"/>
        <v/>
      </c>
      <c r="HP50" s="17" t="str">
        <f t="shared" si="109"/>
        <v/>
      </c>
      <c r="HQ50" s="17" t="str">
        <f t="shared" si="109"/>
        <v/>
      </c>
      <c r="HR50" s="17" t="str">
        <f t="shared" si="109"/>
        <v/>
      </c>
      <c r="HS50" s="17" t="str">
        <f t="shared" si="109"/>
        <v/>
      </c>
      <c r="HT50" s="17" t="str">
        <f t="shared" si="109"/>
        <v/>
      </c>
      <c r="HU50" s="17" t="str">
        <f t="shared" si="109"/>
        <v/>
      </c>
      <c r="HV50" s="17" t="str">
        <f t="shared" si="109"/>
        <v/>
      </c>
      <c r="HW50" s="17" t="str">
        <f t="shared" si="109"/>
        <v/>
      </c>
      <c r="HX50" s="17" t="str">
        <f t="shared" si="109"/>
        <v/>
      </c>
      <c r="HY50" s="17" t="str">
        <f t="shared" si="109"/>
        <v/>
      </c>
      <c r="HZ50" s="17" t="str">
        <f t="shared" si="109"/>
        <v/>
      </c>
      <c r="IA50" s="17" t="str">
        <f t="shared" si="109"/>
        <v/>
      </c>
    </row>
    <row r="51" spans="1:235" ht="25.95" customHeight="1" x14ac:dyDescent="0.3">
      <c r="A51" s="7">
        <v>46</v>
      </c>
      <c r="B51" s="7">
        <f>Premissas!$B$6</f>
        <v>6</v>
      </c>
      <c r="C51" s="7">
        <f>45*Premissas!$B$8</f>
        <v>545.4545454545455</v>
      </c>
      <c r="D51" s="7">
        <f>C51+Premissas!$B$9</f>
        <v>593.4545454545455</v>
      </c>
      <c r="E51" s="7">
        <f>C51+Premissas!$B$11</f>
        <v>599.4545454545455</v>
      </c>
      <c r="F51" s="7">
        <f>E51+Premissas!$B$8</f>
        <v>611.57575757575762</v>
      </c>
      <c r="G51" s="7">
        <f>Premissas!$B$11</f>
        <v>54</v>
      </c>
      <c r="H51" s="7">
        <f>Premissas!$B$12</f>
        <v>3</v>
      </c>
      <c r="I51" s="7" t="s">
        <v>47</v>
      </c>
      <c r="J51" s="8" t="s">
        <v>48</v>
      </c>
      <c r="K51" s="17" t="str">
        <f t="shared" si="88"/>
        <v/>
      </c>
      <c r="L51" s="17" t="str">
        <f t="shared" si="88"/>
        <v/>
      </c>
      <c r="M51" s="17" t="str">
        <f t="shared" si="88"/>
        <v/>
      </c>
      <c r="N51" s="17" t="str">
        <f t="shared" si="88"/>
        <v/>
      </c>
      <c r="O51" s="17" t="str">
        <f t="shared" si="88"/>
        <v/>
      </c>
      <c r="P51" s="17" t="str">
        <f t="shared" si="88"/>
        <v/>
      </c>
      <c r="Q51" s="17" t="str">
        <f t="shared" si="88"/>
        <v/>
      </c>
      <c r="R51" s="17" t="str">
        <f t="shared" si="88"/>
        <v/>
      </c>
      <c r="S51" s="17" t="str">
        <f t="shared" si="88"/>
        <v/>
      </c>
      <c r="T51" s="17" t="str">
        <f t="shared" si="88"/>
        <v/>
      </c>
      <c r="U51" s="17" t="str">
        <f t="shared" si="89"/>
        <v/>
      </c>
      <c r="V51" s="17" t="str">
        <f t="shared" si="89"/>
        <v/>
      </c>
      <c r="W51" s="17" t="str">
        <f t="shared" si="89"/>
        <v/>
      </c>
      <c r="X51" s="17" t="str">
        <f t="shared" si="89"/>
        <v/>
      </c>
      <c r="Y51" s="17" t="str">
        <f t="shared" si="89"/>
        <v/>
      </c>
      <c r="Z51" s="17" t="str">
        <f t="shared" si="89"/>
        <v/>
      </c>
      <c r="AA51" s="17" t="str">
        <f t="shared" si="89"/>
        <v/>
      </c>
      <c r="AB51" s="17" t="str">
        <f t="shared" si="89"/>
        <v/>
      </c>
      <c r="AC51" s="17" t="str">
        <f t="shared" si="89"/>
        <v/>
      </c>
      <c r="AD51" s="17" t="str">
        <f t="shared" si="89"/>
        <v/>
      </c>
      <c r="AE51" s="17" t="str">
        <f t="shared" si="90"/>
        <v/>
      </c>
      <c r="AF51" s="17" t="str">
        <f t="shared" si="90"/>
        <v/>
      </c>
      <c r="AG51" s="17" t="str">
        <f t="shared" si="90"/>
        <v/>
      </c>
      <c r="AH51" s="17" t="str">
        <f t="shared" si="90"/>
        <v/>
      </c>
      <c r="AI51" s="17" t="str">
        <f t="shared" si="90"/>
        <v/>
      </c>
      <c r="AJ51" s="17" t="str">
        <f t="shared" si="90"/>
        <v/>
      </c>
      <c r="AK51" s="17" t="str">
        <f t="shared" si="90"/>
        <v/>
      </c>
      <c r="AL51" s="17" t="str">
        <f t="shared" si="90"/>
        <v/>
      </c>
      <c r="AM51" s="17" t="str">
        <f t="shared" si="90"/>
        <v/>
      </c>
      <c r="AN51" s="17" t="str">
        <f t="shared" si="90"/>
        <v/>
      </c>
      <c r="AO51" s="17" t="str">
        <f t="shared" si="91"/>
        <v/>
      </c>
      <c r="AP51" s="17" t="str">
        <f t="shared" si="91"/>
        <v/>
      </c>
      <c r="AQ51" s="17" t="str">
        <f t="shared" si="91"/>
        <v/>
      </c>
      <c r="AR51" s="17" t="str">
        <f t="shared" si="91"/>
        <v/>
      </c>
      <c r="AS51" s="17" t="str">
        <f t="shared" si="91"/>
        <v/>
      </c>
      <c r="AT51" s="17" t="str">
        <f t="shared" si="91"/>
        <v/>
      </c>
      <c r="AU51" s="17" t="str">
        <f t="shared" si="91"/>
        <v/>
      </c>
      <c r="AV51" s="17" t="str">
        <f t="shared" si="91"/>
        <v/>
      </c>
      <c r="AW51" s="17" t="str">
        <f t="shared" si="91"/>
        <v/>
      </c>
      <c r="AX51" s="17" t="str">
        <f t="shared" si="91"/>
        <v/>
      </c>
      <c r="AY51" s="17" t="str">
        <f t="shared" si="92"/>
        <v/>
      </c>
      <c r="AZ51" s="17" t="str">
        <f t="shared" si="92"/>
        <v/>
      </c>
      <c r="BA51" s="17" t="str">
        <f t="shared" si="92"/>
        <v/>
      </c>
      <c r="BB51" s="17" t="str">
        <f t="shared" si="92"/>
        <v/>
      </c>
      <c r="BC51" s="17" t="str">
        <f t="shared" si="92"/>
        <v/>
      </c>
      <c r="BD51" s="17" t="str">
        <f t="shared" si="92"/>
        <v/>
      </c>
      <c r="BE51" s="17" t="str">
        <f t="shared" si="92"/>
        <v/>
      </c>
      <c r="BF51" s="17" t="str">
        <f t="shared" si="92"/>
        <v/>
      </c>
      <c r="BG51" s="17" t="str">
        <f t="shared" si="92"/>
        <v/>
      </c>
      <c r="BH51" s="17" t="str">
        <f t="shared" si="92"/>
        <v/>
      </c>
      <c r="BI51" s="17" t="str">
        <f t="shared" si="93"/>
        <v/>
      </c>
      <c r="BJ51" s="17" t="str">
        <f t="shared" si="93"/>
        <v/>
      </c>
      <c r="BK51" s="17" t="str">
        <f t="shared" si="93"/>
        <v/>
      </c>
      <c r="BL51" s="17" t="str">
        <f t="shared" si="93"/>
        <v/>
      </c>
      <c r="BM51" s="17" t="str">
        <f t="shared" si="93"/>
        <v/>
      </c>
      <c r="BN51" s="17" t="str">
        <f t="shared" si="93"/>
        <v/>
      </c>
      <c r="BO51" s="17" t="str">
        <f t="shared" si="93"/>
        <v/>
      </c>
      <c r="BP51" s="17" t="str">
        <f t="shared" si="93"/>
        <v/>
      </c>
      <c r="BQ51" s="17" t="str">
        <f t="shared" si="93"/>
        <v/>
      </c>
      <c r="BR51" s="17" t="str">
        <f t="shared" si="93"/>
        <v/>
      </c>
      <c r="BS51" s="17" t="str">
        <f t="shared" si="94"/>
        <v/>
      </c>
      <c r="BT51" s="17" t="str">
        <f t="shared" si="94"/>
        <v/>
      </c>
      <c r="BU51" s="17" t="str">
        <f t="shared" si="94"/>
        <v/>
      </c>
      <c r="BV51" s="17" t="str">
        <f t="shared" si="94"/>
        <v/>
      </c>
      <c r="BW51" s="17" t="str">
        <f t="shared" si="94"/>
        <v/>
      </c>
      <c r="BX51" s="17" t="str">
        <f t="shared" si="94"/>
        <v/>
      </c>
      <c r="BY51" s="17" t="str">
        <f t="shared" si="94"/>
        <v/>
      </c>
      <c r="BZ51" s="17" t="str">
        <f t="shared" si="94"/>
        <v/>
      </c>
      <c r="CA51" s="17" t="str">
        <f t="shared" si="94"/>
        <v/>
      </c>
      <c r="CB51" s="17" t="str">
        <f t="shared" si="94"/>
        <v/>
      </c>
      <c r="CC51" s="17" t="str">
        <f t="shared" si="95"/>
        <v/>
      </c>
      <c r="CD51" s="17" t="str">
        <f t="shared" si="95"/>
        <v/>
      </c>
      <c r="CE51" s="17" t="str">
        <f t="shared" si="95"/>
        <v/>
      </c>
      <c r="CF51" s="17" t="str">
        <f t="shared" si="95"/>
        <v/>
      </c>
      <c r="CG51" s="17" t="str">
        <f t="shared" si="95"/>
        <v/>
      </c>
      <c r="CH51" s="17" t="str">
        <f t="shared" si="95"/>
        <v/>
      </c>
      <c r="CI51" s="17" t="str">
        <f t="shared" si="95"/>
        <v/>
      </c>
      <c r="CJ51" s="17" t="str">
        <f t="shared" si="95"/>
        <v/>
      </c>
      <c r="CK51" s="17" t="str">
        <f t="shared" si="95"/>
        <v/>
      </c>
      <c r="CL51" s="17" t="str">
        <f t="shared" si="95"/>
        <v/>
      </c>
      <c r="CM51" s="17" t="str">
        <f t="shared" si="96"/>
        <v/>
      </c>
      <c r="CN51" s="17" t="str">
        <f t="shared" si="96"/>
        <v/>
      </c>
      <c r="CO51" s="17" t="str">
        <f t="shared" si="96"/>
        <v/>
      </c>
      <c r="CP51" s="17" t="str">
        <f t="shared" si="96"/>
        <v/>
      </c>
      <c r="CQ51" s="17" t="str">
        <f t="shared" si="96"/>
        <v/>
      </c>
      <c r="CR51" s="17" t="str">
        <f t="shared" si="96"/>
        <v/>
      </c>
      <c r="CS51" s="17" t="str">
        <f t="shared" si="96"/>
        <v/>
      </c>
      <c r="CT51" s="17" t="str">
        <f t="shared" si="96"/>
        <v/>
      </c>
      <c r="CU51" s="17" t="str">
        <f t="shared" si="96"/>
        <v/>
      </c>
      <c r="CV51" s="17" t="str">
        <f t="shared" si="96"/>
        <v/>
      </c>
      <c r="CW51" s="17" t="str">
        <f t="shared" si="97"/>
        <v/>
      </c>
      <c r="CX51" s="17" t="str">
        <f t="shared" si="97"/>
        <v/>
      </c>
      <c r="CY51" s="17" t="str">
        <f t="shared" si="97"/>
        <v/>
      </c>
      <c r="CZ51" s="17" t="str">
        <f t="shared" si="97"/>
        <v/>
      </c>
      <c r="DA51" s="17" t="str">
        <f t="shared" si="97"/>
        <v/>
      </c>
      <c r="DB51" s="17" t="str">
        <f t="shared" si="97"/>
        <v/>
      </c>
      <c r="DC51" s="17" t="str">
        <f t="shared" si="97"/>
        <v/>
      </c>
      <c r="DD51" s="17" t="str">
        <f t="shared" si="97"/>
        <v/>
      </c>
      <c r="DE51" s="17" t="str">
        <f t="shared" si="97"/>
        <v/>
      </c>
      <c r="DF51" s="17" t="str">
        <f t="shared" si="97"/>
        <v/>
      </c>
      <c r="DG51" s="17" t="str">
        <f t="shared" si="98"/>
        <v/>
      </c>
      <c r="DH51" s="17" t="str">
        <f t="shared" si="98"/>
        <v/>
      </c>
      <c r="DI51" s="17" t="str">
        <f t="shared" si="98"/>
        <v/>
      </c>
      <c r="DJ51" s="17" t="str">
        <f t="shared" si="98"/>
        <v/>
      </c>
      <c r="DK51" s="17" t="str">
        <f t="shared" si="98"/>
        <v/>
      </c>
      <c r="DL51" s="17" t="str">
        <f t="shared" si="98"/>
        <v/>
      </c>
      <c r="DM51" s="17" t="str">
        <f t="shared" si="98"/>
        <v/>
      </c>
      <c r="DN51" s="17" t="str">
        <f t="shared" si="98"/>
        <v/>
      </c>
      <c r="DO51" s="17" t="str">
        <f t="shared" si="98"/>
        <v/>
      </c>
      <c r="DP51" s="17" t="str">
        <f t="shared" si="98"/>
        <v/>
      </c>
      <c r="DQ51" s="17" t="str">
        <f t="shared" si="99"/>
        <v/>
      </c>
      <c r="DR51" s="17" t="str">
        <f t="shared" si="99"/>
        <v/>
      </c>
      <c r="DS51" s="17" t="str">
        <f t="shared" si="99"/>
        <v/>
      </c>
      <c r="DT51" s="17" t="str">
        <f t="shared" si="99"/>
        <v/>
      </c>
      <c r="DU51" s="17" t="str">
        <f t="shared" si="99"/>
        <v/>
      </c>
      <c r="DV51" s="17" t="str">
        <f t="shared" si="99"/>
        <v/>
      </c>
      <c r="DW51" s="17" t="str">
        <f t="shared" si="99"/>
        <v/>
      </c>
      <c r="DX51" s="17" t="str">
        <f t="shared" si="99"/>
        <v/>
      </c>
      <c r="DY51" s="17" t="str">
        <f t="shared" si="99"/>
        <v/>
      </c>
      <c r="DZ51" s="17" t="str">
        <f t="shared" si="99"/>
        <v/>
      </c>
      <c r="EA51" s="17" t="str">
        <f t="shared" si="100"/>
        <v/>
      </c>
      <c r="EB51" s="17" t="str">
        <f t="shared" si="100"/>
        <v/>
      </c>
      <c r="EC51" s="17" t="str">
        <f t="shared" si="100"/>
        <v/>
      </c>
      <c r="ED51" s="17" t="str">
        <f t="shared" si="100"/>
        <v/>
      </c>
      <c r="EE51" s="17" t="str">
        <f t="shared" si="100"/>
        <v/>
      </c>
      <c r="EF51" s="17" t="str">
        <f t="shared" si="100"/>
        <v/>
      </c>
      <c r="EG51" s="17" t="str">
        <f t="shared" si="100"/>
        <v/>
      </c>
      <c r="EH51" s="17" t="str">
        <f t="shared" si="100"/>
        <v/>
      </c>
      <c r="EI51" s="17" t="str">
        <f t="shared" si="100"/>
        <v/>
      </c>
      <c r="EJ51" s="17" t="str">
        <f t="shared" si="100"/>
        <v/>
      </c>
      <c r="EK51" s="17" t="str">
        <f t="shared" si="101"/>
        <v/>
      </c>
      <c r="EL51" s="17" t="str">
        <f t="shared" si="101"/>
        <v/>
      </c>
      <c r="EM51" s="17" t="str">
        <f t="shared" si="101"/>
        <v/>
      </c>
      <c r="EN51" s="17" t="str">
        <f t="shared" si="101"/>
        <v/>
      </c>
      <c r="EO51" s="17" t="str">
        <f t="shared" si="101"/>
        <v/>
      </c>
      <c r="EP51" s="17" t="str">
        <f t="shared" si="101"/>
        <v/>
      </c>
      <c r="EQ51" s="17" t="str">
        <f t="shared" si="101"/>
        <v/>
      </c>
      <c r="ER51" s="17" t="str">
        <f t="shared" si="101"/>
        <v/>
      </c>
      <c r="ES51" s="17" t="str">
        <f t="shared" si="101"/>
        <v/>
      </c>
      <c r="ET51" s="17" t="str">
        <f t="shared" si="101"/>
        <v/>
      </c>
      <c r="EU51" s="17" t="str">
        <f t="shared" si="102"/>
        <v/>
      </c>
      <c r="EV51" s="17" t="str">
        <f t="shared" si="102"/>
        <v/>
      </c>
      <c r="EW51" s="17" t="str">
        <f t="shared" si="102"/>
        <v/>
      </c>
      <c r="EX51" s="17" t="str">
        <f t="shared" si="102"/>
        <v/>
      </c>
      <c r="EY51" s="17" t="str">
        <f t="shared" si="102"/>
        <v/>
      </c>
      <c r="EZ51" s="17" t="str">
        <f t="shared" si="102"/>
        <v/>
      </c>
      <c r="FA51" s="17" t="str">
        <f t="shared" si="102"/>
        <v/>
      </c>
      <c r="FB51" s="17" t="str">
        <f t="shared" si="102"/>
        <v/>
      </c>
      <c r="FC51" s="17" t="str">
        <f t="shared" si="102"/>
        <v/>
      </c>
      <c r="FD51" s="17" t="str">
        <f t="shared" si="102"/>
        <v/>
      </c>
      <c r="FE51" s="17" t="str">
        <f t="shared" si="103"/>
        <v/>
      </c>
      <c r="FF51" s="17" t="str">
        <f t="shared" si="103"/>
        <v/>
      </c>
      <c r="FG51" s="17" t="str">
        <f t="shared" si="103"/>
        <v/>
      </c>
      <c r="FH51" s="17" t="str">
        <f t="shared" si="103"/>
        <v/>
      </c>
      <c r="FI51" s="17" t="str">
        <f t="shared" si="103"/>
        <v/>
      </c>
      <c r="FJ51" s="17" t="str">
        <f t="shared" si="103"/>
        <v/>
      </c>
      <c r="FK51" s="17" t="str">
        <f t="shared" si="103"/>
        <v/>
      </c>
      <c r="FL51" s="17" t="str">
        <f t="shared" si="103"/>
        <v/>
      </c>
      <c r="FM51" s="17" t="str">
        <f t="shared" si="103"/>
        <v/>
      </c>
      <c r="FN51" s="17" t="str">
        <f t="shared" si="103"/>
        <v/>
      </c>
      <c r="FO51" s="17" t="str">
        <f t="shared" si="104"/>
        <v/>
      </c>
      <c r="FP51" s="17" t="str">
        <f t="shared" si="104"/>
        <v/>
      </c>
      <c r="FQ51" s="17" t="str">
        <f t="shared" si="104"/>
        <v/>
      </c>
      <c r="FR51" s="17" t="str">
        <f t="shared" si="104"/>
        <v/>
      </c>
      <c r="FS51" s="17" t="str">
        <f t="shared" si="104"/>
        <v/>
      </c>
      <c r="FT51" s="17" t="str">
        <f t="shared" si="104"/>
        <v/>
      </c>
      <c r="FU51" s="17" t="str">
        <f t="shared" si="104"/>
        <v/>
      </c>
      <c r="FV51" s="17" t="str">
        <f t="shared" si="104"/>
        <v/>
      </c>
      <c r="FW51" s="17" t="str">
        <f t="shared" si="104"/>
        <v/>
      </c>
      <c r="FX51" s="17" t="str">
        <f t="shared" si="104"/>
        <v/>
      </c>
      <c r="FY51" s="17" t="str">
        <f t="shared" si="105"/>
        <v/>
      </c>
      <c r="FZ51" s="17" t="str">
        <f t="shared" si="105"/>
        <v/>
      </c>
      <c r="GA51" s="17" t="str">
        <f t="shared" si="105"/>
        <v/>
      </c>
      <c r="GB51" s="17" t="str">
        <f t="shared" si="105"/>
        <v/>
      </c>
      <c r="GC51" s="17" t="str">
        <f t="shared" si="105"/>
        <v/>
      </c>
      <c r="GD51" s="17" t="str">
        <f t="shared" si="105"/>
        <v/>
      </c>
      <c r="GE51" s="17" t="str">
        <f t="shared" si="105"/>
        <v/>
      </c>
      <c r="GF51" s="17" t="str">
        <f t="shared" si="105"/>
        <v/>
      </c>
      <c r="GG51" s="17" t="str">
        <f t="shared" si="105"/>
        <v/>
      </c>
      <c r="GH51" s="17" t="str">
        <f t="shared" si="105"/>
        <v/>
      </c>
      <c r="GI51" s="17" t="str">
        <f t="shared" si="106"/>
        <v/>
      </c>
      <c r="GJ51" s="17" t="str">
        <f t="shared" si="106"/>
        <v/>
      </c>
      <c r="GK51" s="17" t="str">
        <f t="shared" si="106"/>
        <v>R</v>
      </c>
      <c r="GL51" s="17" t="str">
        <f t="shared" si="106"/>
        <v>R</v>
      </c>
      <c r="GM51" s="17" t="str">
        <f t="shared" si="106"/>
        <v>R</v>
      </c>
      <c r="GN51" s="17" t="str">
        <f t="shared" si="106"/>
        <v>R</v>
      </c>
      <c r="GO51" s="17" t="str">
        <f t="shared" si="106"/>
        <v>R</v>
      </c>
      <c r="GP51" s="17" t="str">
        <f t="shared" si="106"/>
        <v>R</v>
      </c>
      <c r="GQ51" s="17" t="str">
        <f t="shared" si="106"/>
        <v>R</v>
      </c>
      <c r="GR51" s="17" t="str">
        <f t="shared" si="106"/>
        <v>R</v>
      </c>
      <c r="GS51" s="17" t="str">
        <f t="shared" si="107"/>
        <v>R</v>
      </c>
      <c r="GT51" s="17" t="str">
        <f t="shared" si="107"/>
        <v>R</v>
      </c>
      <c r="GU51" s="17" t="str">
        <f t="shared" si="107"/>
        <v>R</v>
      </c>
      <c r="GV51" s="17" t="str">
        <f t="shared" si="107"/>
        <v>R</v>
      </c>
      <c r="GW51" s="17" t="str">
        <f t="shared" si="107"/>
        <v>R</v>
      </c>
      <c r="GX51" s="17" t="str">
        <f t="shared" si="107"/>
        <v>R</v>
      </c>
      <c r="GY51" s="17" t="str">
        <f t="shared" si="107"/>
        <v>R</v>
      </c>
      <c r="GZ51" s="17" t="str">
        <f t="shared" si="107"/>
        <v>R</v>
      </c>
      <c r="HA51" s="17" t="str">
        <f t="shared" si="107"/>
        <v>P</v>
      </c>
      <c r="HB51" s="17" t="str">
        <f t="shared" si="107"/>
        <v>P</v>
      </c>
      <c r="HC51" s="17" t="str">
        <f t="shared" si="108"/>
        <v>T</v>
      </c>
      <c r="HD51" s="17" t="str">
        <f t="shared" si="108"/>
        <v>T</v>
      </c>
      <c r="HE51" s="17" t="str">
        <f t="shared" si="108"/>
        <v>T</v>
      </c>
      <c r="HF51" s="17" t="str">
        <f t="shared" si="108"/>
        <v>T</v>
      </c>
      <c r="HG51" s="17" t="str">
        <f t="shared" si="108"/>
        <v/>
      </c>
      <c r="HH51" s="17" t="str">
        <f t="shared" si="108"/>
        <v/>
      </c>
      <c r="HI51" s="17" t="str">
        <f t="shared" si="108"/>
        <v/>
      </c>
      <c r="HJ51" s="17" t="str">
        <f t="shared" si="108"/>
        <v/>
      </c>
      <c r="HK51" s="17" t="str">
        <f t="shared" si="108"/>
        <v/>
      </c>
      <c r="HL51" s="17" t="str">
        <f t="shared" si="108"/>
        <v/>
      </c>
      <c r="HM51" s="17" t="str">
        <f t="shared" si="109"/>
        <v/>
      </c>
      <c r="HN51" s="17" t="str">
        <f t="shared" si="109"/>
        <v/>
      </c>
      <c r="HO51" s="17" t="str">
        <f t="shared" si="109"/>
        <v/>
      </c>
      <c r="HP51" s="17" t="str">
        <f t="shared" si="109"/>
        <v/>
      </c>
      <c r="HQ51" s="17" t="str">
        <f t="shared" si="109"/>
        <v/>
      </c>
      <c r="HR51" s="17" t="str">
        <f t="shared" si="109"/>
        <v/>
      </c>
      <c r="HS51" s="17" t="str">
        <f t="shared" si="109"/>
        <v/>
      </c>
      <c r="HT51" s="17" t="str">
        <f t="shared" si="109"/>
        <v/>
      </c>
      <c r="HU51" s="17" t="str">
        <f t="shared" si="109"/>
        <v/>
      </c>
      <c r="HV51" s="17" t="str">
        <f t="shared" si="109"/>
        <v/>
      </c>
      <c r="HW51" s="17" t="str">
        <f t="shared" si="109"/>
        <v/>
      </c>
      <c r="HX51" s="17" t="str">
        <f t="shared" si="109"/>
        <v/>
      </c>
      <c r="HY51" s="17" t="str">
        <f t="shared" si="109"/>
        <v/>
      </c>
      <c r="HZ51" s="17" t="str">
        <f t="shared" si="109"/>
        <v/>
      </c>
      <c r="IA51" s="17" t="str">
        <f t="shared" si="109"/>
        <v/>
      </c>
    </row>
    <row r="52" spans="1:235" ht="25.95" customHeight="1" x14ac:dyDescent="0.3">
      <c r="A52" s="7">
        <v>47</v>
      </c>
      <c r="B52" s="7">
        <f>Premissas!$B$6</f>
        <v>6</v>
      </c>
      <c r="C52" s="7">
        <f>46*Premissas!$B$8</f>
        <v>557.57575757575762</v>
      </c>
      <c r="D52" s="7">
        <f>C52+Premissas!$B$9</f>
        <v>605.57575757575762</v>
      </c>
      <c r="E52" s="7">
        <f>C52+Premissas!$B$11</f>
        <v>611.57575757575762</v>
      </c>
      <c r="F52" s="7">
        <f>E52+Premissas!$B$8</f>
        <v>623.69696969696975</v>
      </c>
      <c r="G52" s="7">
        <f>Premissas!$B$11</f>
        <v>54</v>
      </c>
      <c r="H52" s="7">
        <f>Premissas!$B$12</f>
        <v>3</v>
      </c>
      <c r="I52" s="7" t="s">
        <v>47</v>
      </c>
      <c r="J52" s="8" t="s">
        <v>48</v>
      </c>
      <c r="K52" s="17" t="str">
        <f t="shared" si="88"/>
        <v/>
      </c>
      <c r="L52" s="17" t="str">
        <f t="shared" si="88"/>
        <v/>
      </c>
      <c r="M52" s="17" t="str">
        <f t="shared" si="88"/>
        <v/>
      </c>
      <c r="N52" s="17" t="str">
        <f t="shared" si="88"/>
        <v/>
      </c>
      <c r="O52" s="17" t="str">
        <f t="shared" si="88"/>
        <v/>
      </c>
      <c r="P52" s="17" t="str">
        <f t="shared" si="88"/>
        <v/>
      </c>
      <c r="Q52" s="17" t="str">
        <f t="shared" si="88"/>
        <v/>
      </c>
      <c r="R52" s="17" t="str">
        <f t="shared" si="88"/>
        <v/>
      </c>
      <c r="S52" s="17" t="str">
        <f t="shared" si="88"/>
        <v/>
      </c>
      <c r="T52" s="17" t="str">
        <f t="shared" si="88"/>
        <v/>
      </c>
      <c r="U52" s="17" t="str">
        <f t="shared" si="89"/>
        <v/>
      </c>
      <c r="V52" s="17" t="str">
        <f t="shared" si="89"/>
        <v/>
      </c>
      <c r="W52" s="17" t="str">
        <f t="shared" si="89"/>
        <v/>
      </c>
      <c r="X52" s="17" t="str">
        <f t="shared" si="89"/>
        <v/>
      </c>
      <c r="Y52" s="17" t="str">
        <f t="shared" si="89"/>
        <v/>
      </c>
      <c r="Z52" s="17" t="str">
        <f t="shared" si="89"/>
        <v/>
      </c>
      <c r="AA52" s="17" t="str">
        <f t="shared" si="89"/>
        <v/>
      </c>
      <c r="AB52" s="17" t="str">
        <f t="shared" si="89"/>
        <v/>
      </c>
      <c r="AC52" s="17" t="str">
        <f t="shared" si="89"/>
        <v/>
      </c>
      <c r="AD52" s="17" t="str">
        <f t="shared" si="89"/>
        <v/>
      </c>
      <c r="AE52" s="17" t="str">
        <f t="shared" si="90"/>
        <v/>
      </c>
      <c r="AF52" s="17" t="str">
        <f t="shared" si="90"/>
        <v/>
      </c>
      <c r="AG52" s="17" t="str">
        <f t="shared" si="90"/>
        <v/>
      </c>
      <c r="AH52" s="17" t="str">
        <f t="shared" si="90"/>
        <v/>
      </c>
      <c r="AI52" s="17" t="str">
        <f t="shared" si="90"/>
        <v/>
      </c>
      <c r="AJ52" s="17" t="str">
        <f t="shared" si="90"/>
        <v/>
      </c>
      <c r="AK52" s="17" t="str">
        <f t="shared" si="90"/>
        <v/>
      </c>
      <c r="AL52" s="17" t="str">
        <f t="shared" si="90"/>
        <v/>
      </c>
      <c r="AM52" s="17" t="str">
        <f t="shared" si="90"/>
        <v/>
      </c>
      <c r="AN52" s="17" t="str">
        <f t="shared" si="90"/>
        <v/>
      </c>
      <c r="AO52" s="17" t="str">
        <f t="shared" si="91"/>
        <v/>
      </c>
      <c r="AP52" s="17" t="str">
        <f t="shared" si="91"/>
        <v/>
      </c>
      <c r="AQ52" s="17" t="str">
        <f t="shared" si="91"/>
        <v/>
      </c>
      <c r="AR52" s="17" t="str">
        <f t="shared" si="91"/>
        <v/>
      </c>
      <c r="AS52" s="17" t="str">
        <f t="shared" si="91"/>
        <v/>
      </c>
      <c r="AT52" s="17" t="str">
        <f t="shared" si="91"/>
        <v/>
      </c>
      <c r="AU52" s="17" t="str">
        <f t="shared" si="91"/>
        <v/>
      </c>
      <c r="AV52" s="17" t="str">
        <f t="shared" si="91"/>
        <v/>
      </c>
      <c r="AW52" s="17" t="str">
        <f t="shared" si="91"/>
        <v/>
      </c>
      <c r="AX52" s="17" t="str">
        <f t="shared" si="91"/>
        <v/>
      </c>
      <c r="AY52" s="17" t="str">
        <f t="shared" si="92"/>
        <v/>
      </c>
      <c r="AZ52" s="17" t="str">
        <f t="shared" si="92"/>
        <v/>
      </c>
      <c r="BA52" s="17" t="str">
        <f t="shared" si="92"/>
        <v/>
      </c>
      <c r="BB52" s="17" t="str">
        <f t="shared" si="92"/>
        <v/>
      </c>
      <c r="BC52" s="17" t="str">
        <f t="shared" si="92"/>
        <v/>
      </c>
      <c r="BD52" s="17" t="str">
        <f t="shared" si="92"/>
        <v/>
      </c>
      <c r="BE52" s="17" t="str">
        <f t="shared" si="92"/>
        <v/>
      </c>
      <c r="BF52" s="17" t="str">
        <f t="shared" si="92"/>
        <v/>
      </c>
      <c r="BG52" s="17" t="str">
        <f t="shared" si="92"/>
        <v/>
      </c>
      <c r="BH52" s="17" t="str">
        <f t="shared" si="92"/>
        <v/>
      </c>
      <c r="BI52" s="17" t="str">
        <f t="shared" si="93"/>
        <v/>
      </c>
      <c r="BJ52" s="17" t="str">
        <f t="shared" si="93"/>
        <v/>
      </c>
      <c r="BK52" s="17" t="str">
        <f t="shared" si="93"/>
        <v/>
      </c>
      <c r="BL52" s="17" t="str">
        <f t="shared" si="93"/>
        <v/>
      </c>
      <c r="BM52" s="17" t="str">
        <f t="shared" si="93"/>
        <v/>
      </c>
      <c r="BN52" s="17" t="str">
        <f t="shared" si="93"/>
        <v/>
      </c>
      <c r="BO52" s="17" t="str">
        <f t="shared" si="93"/>
        <v/>
      </c>
      <c r="BP52" s="17" t="str">
        <f t="shared" si="93"/>
        <v/>
      </c>
      <c r="BQ52" s="17" t="str">
        <f t="shared" si="93"/>
        <v/>
      </c>
      <c r="BR52" s="17" t="str">
        <f t="shared" si="93"/>
        <v/>
      </c>
      <c r="BS52" s="17" t="str">
        <f t="shared" si="94"/>
        <v/>
      </c>
      <c r="BT52" s="17" t="str">
        <f t="shared" si="94"/>
        <v/>
      </c>
      <c r="BU52" s="17" t="str">
        <f t="shared" si="94"/>
        <v/>
      </c>
      <c r="BV52" s="17" t="str">
        <f t="shared" si="94"/>
        <v/>
      </c>
      <c r="BW52" s="17" t="str">
        <f t="shared" si="94"/>
        <v/>
      </c>
      <c r="BX52" s="17" t="str">
        <f t="shared" si="94"/>
        <v/>
      </c>
      <c r="BY52" s="17" t="str">
        <f t="shared" si="94"/>
        <v/>
      </c>
      <c r="BZ52" s="17" t="str">
        <f t="shared" si="94"/>
        <v/>
      </c>
      <c r="CA52" s="17" t="str">
        <f t="shared" si="94"/>
        <v/>
      </c>
      <c r="CB52" s="17" t="str">
        <f t="shared" si="94"/>
        <v/>
      </c>
      <c r="CC52" s="17" t="str">
        <f t="shared" si="95"/>
        <v/>
      </c>
      <c r="CD52" s="17" t="str">
        <f t="shared" si="95"/>
        <v/>
      </c>
      <c r="CE52" s="17" t="str">
        <f t="shared" si="95"/>
        <v/>
      </c>
      <c r="CF52" s="17" t="str">
        <f t="shared" si="95"/>
        <v/>
      </c>
      <c r="CG52" s="17" t="str">
        <f t="shared" si="95"/>
        <v/>
      </c>
      <c r="CH52" s="17" t="str">
        <f t="shared" si="95"/>
        <v/>
      </c>
      <c r="CI52" s="17" t="str">
        <f t="shared" si="95"/>
        <v/>
      </c>
      <c r="CJ52" s="17" t="str">
        <f t="shared" si="95"/>
        <v/>
      </c>
      <c r="CK52" s="17" t="str">
        <f t="shared" si="95"/>
        <v/>
      </c>
      <c r="CL52" s="17" t="str">
        <f t="shared" si="95"/>
        <v/>
      </c>
      <c r="CM52" s="17" t="str">
        <f t="shared" si="96"/>
        <v/>
      </c>
      <c r="CN52" s="17" t="str">
        <f t="shared" si="96"/>
        <v/>
      </c>
      <c r="CO52" s="17" t="str">
        <f t="shared" si="96"/>
        <v/>
      </c>
      <c r="CP52" s="17" t="str">
        <f t="shared" si="96"/>
        <v/>
      </c>
      <c r="CQ52" s="17" t="str">
        <f t="shared" si="96"/>
        <v/>
      </c>
      <c r="CR52" s="17" t="str">
        <f t="shared" si="96"/>
        <v/>
      </c>
      <c r="CS52" s="17" t="str">
        <f t="shared" si="96"/>
        <v/>
      </c>
      <c r="CT52" s="17" t="str">
        <f t="shared" si="96"/>
        <v/>
      </c>
      <c r="CU52" s="17" t="str">
        <f t="shared" si="96"/>
        <v/>
      </c>
      <c r="CV52" s="17" t="str">
        <f t="shared" si="96"/>
        <v/>
      </c>
      <c r="CW52" s="17" t="str">
        <f t="shared" si="97"/>
        <v/>
      </c>
      <c r="CX52" s="17" t="str">
        <f t="shared" si="97"/>
        <v/>
      </c>
      <c r="CY52" s="17" t="str">
        <f t="shared" si="97"/>
        <v/>
      </c>
      <c r="CZ52" s="17" t="str">
        <f t="shared" si="97"/>
        <v/>
      </c>
      <c r="DA52" s="17" t="str">
        <f t="shared" si="97"/>
        <v/>
      </c>
      <c r="DB52" s="17" t="str">
        <f t="shared" si="97"/>
        <v/>
      </c>
      <c r="DC52" s="17" t="str">
        <f t="shared" si="97"/>
        <v/>
      </c>
      <c r="DD52" s="17" t="str">
        <f t="shared" si="97"/>
        <v/>
      </c>
      <c r="DE52" s="17" t="str">
        <f t="shared" si="97"/>
        <v/>
      </c>
      <c r="DF52" s="17" t="str">
        <f t="shared" si="97"/>
        <v/>
      </c>
      <c r="DG52" s="17" t="str">
        <f t="shared" si="98"/>
        <v/>
      </c>
      <c r="DH52" s="17" t="str">
        <f t="shared" si="98"/>
        <v/>
      </c>
      <c r="DI52" s="17" t="str">
        <f t="shared" si="98"/>
        <v/>
      </c>
      <c r="DJ52" s="17" t="str">
        <f t="shared" si="98"/>
        <v/>
      </c>
      <c r="DK52" s="17" t="str">
        <f t="shared" si="98"/>
        <v/>
      </c>
      <c r="DL52" s="17" t="str">
        <f t="shared" si="98"/>
        <v/>
      </c>
      <c r="DM52" s="17" t="str">
        <f t="shared" si="98"/>
        <v/>
      </c>
      <c r="DN52" s="17" t="str">
        <f t="shared" si="98"/>
        <v/>
      </c>
      <c r="DO52" s="17" t="str">
        <f t="shared" si="98"/>
        <v/>
      </c>
      <c r="DP52" s="17" t="str">
        <f t="shared" si="98"/>
        <v/>
      </c>
      <c r="DQ52" s="17" t="str">
        <f t="shared" si="99"/>
        <v/>
      </c>
      <c r="DR52" s="17" t="str">
        <f t="shared" si="99"/>
        <v/>
      </c>
      <c r="DS52" s="17" t="str">
        <f t="shared" si="99"/>
        <v/>
      </c>
      <c r="DT52" s="17" t="str">
        <f t="shared" si="99"/>
        <v/>
      </c>
      <c r="DU52" s="17" t="str">
        <f t="shared" si="99"/>
        <v/>
      </c>
      <c r="DV52" s="17" t="str">
        <f t="shared" si="99"/>
        <v/>
      </c>
      <c r="DW52" s="17" t="str">
        <f t="shared" si="99"/>
        <v/>
      </c>
      <c r="DX52" s="17" t="str">
        <f t="shared" si="99"/>
        <v/>
      </c>
      <c r="DY52" s="17" t="str">
        <f t="shared" si="99"/>
        <v/>
      </c>
      <c r="DZ52" s="17" t="str">
        <f t="shared" si="99"/>
        <v/>
      </c>
      <c r="EA52" s="17" t="str">
        <f t="shared" si="100"/>
        <v/>
      </c>
      <c r="EB52" s="17" t="str">
        <f t="shared" si="100"/>
        <v/>
      </c>
      <c r="EC52" s="17" t="str">
        <f t="shared" si="100"/>
        <v/>
      </c>
      <c r="ED52" s="17" t="str">
        <f t="shared" si="100"/>
        <v/>
      </c>
      <c r="EE52" s="17" t="str">
        <f t="shared" si="100"/>
        <v/>
      </c>
      <c r="EF52" s="17" t="str">
        <f t="shared" si="100"/>
        <v/>
      </c>
      <c r="EG52" s="17" t="str">
        <f t="shared" si="100"/>
        <v/>
      </c>
      <c r="EH52" s="17" t="str">
        <f t="shared" si="100"/>
        <v/>
      </c>
      <c r="EI52" s="17" t="str">
        <f t="shared" si="100"/>
        <v/>
      </c>
      <c r="EJ52" s="17" t="str">
        <f t="shared" si="100"/>
        <v/>
      </c>
      <c r="EK52" s="17" t="str">
        <f t="shared" si="101"/>
        <v/>
      </c>
      <c r="EL52" s="17" t="str">
        <f t="shared" si="101"/>
        <v/>
      </c>
      <c r="EM52" s="17" t="str">
        <f t="shared" si="101"/>
        <v/>
      </c>
      <c r="EN52" s="17" t="str">
        <f t="shared" si="101"/>
        <v/>
      </c>
      <c r="EO52" s="17" t="str">
        <f t="shared" si="101"/>
        <v/>
      </c>
      <c r="EP52" s="17" t="str">
        <f t="shared" si="101"/>
        <v/>
      </c>
      <c r="EQ52" s="17" t="str">
        <f t="shared" si="101"/>
        <v/>
      </c>
      <c r="ER52" s="17" t="str">
        <f t="shared" si="101"/>
        <v/>
      </c>
      <c r="ES52" s="17" t="str">
        <f t="shared" si="101"/>
        <v/>
      </c>
      <c r="ET52" s="17" t="str">
        <f t="shared" si="101"/>
        <v/>
      </c>
      <c r="EU52" s="17" t="str">
        <f t="shared" si="102"/>
        <v/>
      </c>
      <c r="EV52" s="17" t="str">
        <f t="shared" si="102"/>
        <v/>
      </c>
      <c r="EW52" s="17" t="str">
        <f t="shared" si="102"/>
        <v/>
      </c>
      <c r="EX52" s="17" t="str">
        <f t="shared" si="102"/>
        <v/>
      </c>
      <c r="EY52" s="17" t="str">
        <f t="shared" si="102"/>
        <v/>
      </c>
      <c r="EZ52" s="17" t="str">
        <f t="shared" si="102"/>
        <v/>
      </c>
      <c r="FA52" s="17" t="str">
        <f t="shared" si="102"/>
        <v/>
      </c>
      <c r="FB52" s="17" t="str">
        <f t="shared" si="102"/>
        <v/>
      </c>
      <c r="FC52" s="17" t="str">
        <f t="shared" si="102"/>
        <v/>
      </c>
      <c r="FD52" s="17" t="str">
        <f t="shared" si="102"/>
        <v/>
      </c>
      <c r="FE52" s="17" t="str">
        <f t="shared" si="103"/>
        <v/>
      </c>
      <c r="FF52" s="17" t="str">
        <f t="shared" si="103"/>
        <v/>
      </c>
      <c r="FG52" s="17" t="str">
        <f t="shared" si="103"/>
        <v/>
      </c>
      <c r="FH52" s="17" t="str">
        <f t="shared" si="103"/>
        <v/>
      </c>
      <c r="FI52" s="17" t="str">
        <f t="shared" si="103"/>
        <v/>
      </c>
      <c r="FJ52" s="17" t="str">
        <f t="shared" si="103"/>
        <v/>
      </c>
      <c r="FK52" s="17" t="str">
        <f t="shared" si="103"/>
        <v/>
      </c>
      <c r="FL52" s="17" t="str">
        <f t="shared" si="103"/>
        <v/>
      </c>
      <c r="FM52" s="17" t="str">
        <f t="shared" si="103"/>
        <v/>
      </c>
      <c r="FN52" s="17" t="str">
        <f t="shared" si="103"/>
        <v/>
      </c>
      <c r="FO52" s="17" t="str">
        <f t="shared" si="104"/>
        <v/>
      </c>
      <c r="FP52" s="17" t="str">
        <f t="shared" si="104"/>
        <v/>
      </c>
      <c r="FQ52" s="17" t="str">
        <f t="shared" si="104"/>
        <v/>
      </c>
      <c r="FR52" s="17" t="str">
        <f t="shared" si="104"/>
        <v/>
      </c>
      <c r="FS52" s="17" t="str">
        <f t="shared" si="104"/>
        <v/>
      </c>
      <c r="FT52" s="17" t="str">
        <f t="shared" si="104"/>
        <v/>
      </c>
      <c r="FU52" s="17" t="str">
        <f t="shared" si="104"/>
        <v/>
      </c>
      <c r="FV52" s="17" t="str">
        <f t="shared" si="104"/>
        <v/>
      </c>
      <c r="FW52" s="17" t="str">
        <f t="shared" si="104"/>
        <v/>
      </c>
      <c r="FX52" s="17" t="str">
        <f t="shared" si="104"/>
        <v/>
      </c>
      <c r="FY52" s="17" t="str">
        <f t="shared" si="105"/>
        <v/>
      </c>
      <c r="FZ52" s="17" t="str">
        <f t="shared" si="105"/>
        <v/>
      </c>
      <c r="GA52" s="17" t="str">
        <f t="shared" si="105"/>
        <v/>
      </c>
      <c r="GB52" s="17" t="str">
        <f t="shared" si="105"/>
        <v/>
      </c>
      <c r="GC52" s="17" t="str">
        <f t="shared" si="105"/>
        <v/>
      </c>
      <c r="GD52" s="17" t="str">
        <f t="shared" si="105"/>
        <v/>
      </c>
      <c r="GE52" s="17" t="str">
        <f t="shared" si="105"/>
        <v/>
      </c>
      <c r="GF52" s="17" t="str">
        <f t="shared" si="105"/>
        <v/>
      </c>
      <c r="GG52" s="17" t="str">
        <f t="shared" si="105"/>
        <v/>
      </c>
      <c r="GH52" s="17" t="str">
        <f t="shared" si="105"/>
        <v/>
      </c>
      <c r="GI52" s="17" t="str">
        <f t="shared" si="106"/>
        <v/>
      </c>
      <c r="GJ52" s="17" t="str">
        <f t="shared" si="106"/>
        <v/>
      </c>
      <c r="GK52" s="17" t="str">
        <f t="shared" si="106"/>
        <v/>
      </c>
      <c r="GL52" s="17" t="str">
        <f t="shared" si="106"/>
        <v/>
      </c>
      <c r="GM52" s="17" t="str">
        <f t="shared" si="106"/>
        <v/>
      </c>
      <c r="GN52" s="17" t="str">
        <f t="shared" si="106"/>
        <v/>
      </c>
      <c r="GO52" s="17" t="str">
        <f t="shared" si="106"/>
        <v>R</v>
      </c>
      <c r="GP52" s="17" t="str">
        <f t="shared" si="106"/>
        <v>R</v>
      </c>
      <c r="GQ52" s="17" t="str">
        <f t="shared" si="106"/>
        <v>R</v>
      </c>
      <c r="GR52" s="17" t="str">
        <f t="shared" si="106"/>
        <v>R</v>
      </c>
      <c r="GS52" s="17" t="str">
        <f t="shared" si="107"/>
        <v>R</v>
      </c>
      <c r="GT52" s="17" t="str">
        <f t="shared" si="107"/>
        <v>R</v>
      </c>
      <c r="GU52" s="17" t="str">
        <f t="shared" si="107"/>
        <v>R</v>
      </c>
      <c r="GV52" s="17" t="str">
        <f t="shared" si="107"/>
        <v>R</v>
      </c>
      <c r="GW52" s="17" t="str">
        <f t="shared" si="107"/>
        <v>R</v>
      </c>
      <c r="GX52" s="17" t="str">
        <f t="shared" si="107"/>
        <v>R</v>
      </c>
      <c r="GY52" s="17" t="str">
        <f t="shared" si="107"/>
        <v>R</v>
      </c>
      <c r="GZ52" s="17" t="str">
        <f t="shared" si="107"/>
        <v>R</v>
      </c>
      <c r="HA52" s="17" t="str">
        <f t="shared" si="107"/>
        <v>R</v>
      </c>
      <c r="HB52" s="17" t="str">
        <f t="shared" si="107"/>
        <v>R</v>
      </c>
      <c r="HC52" s="17" t="str">
        <f t="shared" si="108"/>
        <v>R</v>
      </c>
      <c r="HD52" s="17" t="str">
        <f t="shared" si="108"/>
        <v>R</v>
      </c>
      <c r="HE52" s="17" t="str">
        <f t="shared" si="108"/>
        <v>P</v>
      </c>
      <c r="HF52" s="17" t="str">
        <f t="shared" si="108"/>
        <v>P</v>
      </c>
      <c r="HG52" s="17" t="str">
        <f t="shared" si="108"/>
        <v>T</v>
      </c>
      <c r="HH52" s="17" t="str">
        <f t="shared" si="108"/>
        <v>T</v>
      </c>
      <c r="HI52" s="17" t="str">
        <f t="shared" si="108"/>
        <v>T</v>
      </c>
      <c r="HJ52" s="17" t="str">
        <f t="shared" si="108"/>
        <v>T</v>
      </c>
      <c r="HK52" s="17" t="str">
        <f t="shared" si="108"/>
        <v/>
      </c>
      <c r="HL52" s="17" t="str">
        <f t="shared" si="108"/>
        <v/>
      </c>
      <c r="HM52" s="17" t="str">
        <f t="shared" si="109"/>
        <v/>
      </c>
      <c r="HN52" s="17" t="str">
        <f t="shared" si="109"/>
        <v/>
      </c>
      <c r="HO52" s="17" t="str">
        <f t="shared" si="109"/>
        <v/>
      </c>
      <c r="HP52" s="17" t="str">
        <f t="shared" si="109"/>
        <v/>
      </c>
      <c r="HQ52" s="17" t="str">
        <f t="shared" si="109"/>
        <v/>
      </c>
      <c r="HR52" s="17" t="str">
        <f t="shared" si="109"/>
        <v/>
      </c>
      <c r="HS52" s="17" t="str">
        <f t="shared" si="109"/>
        <v/>
      </c>
      <c r="HT52" s="17" t="str">
        <f t="shared" si="109"/>
        <v/>
      </c>
      <c r="HU52" s="17" t="str">
        <f t="shared" si="109"/>
        <v/>
      </c>
      <c r="HV52" s="17" t="str">
        <f t="shared" si="109"/>
        <v/>
      </c>
      <c r="HW52" s="17" t="str">
        <f t="shared" si="109"/>
        <v/>
      </c>
      <c r="HX52" s="17" t="str">
        <f t="shared" si="109"/>
        <v/>
      </c>
      <c r="HY52" s="17" t="str">
        <f t="shared" si="109"/>
        <v/>
      </c>
      <c r="HZ52" s="17" t="str">
        <f t="shared" si="109"/>
        <v/>
      </c>
      <c r="IA52" s="17" t="str">
        <f t="shared" si="109"/>
        <v/>
      </c>
    </row>
    <row r="53" spans="1:235" ht="25.95" customHeight="1" x14ac:dyDescent="0.3">
      <c r="A53" s="7">
        <v>48</v>
      </c>
      <c r="B53" s="7">
        <f>Premissas!$B$6</f>
        <v>6</v>
      </c>
      <c r="C53" s="7">
        <f>47*Premissas!$B$8</f>
        <v>569.69696969696975</v>
      </c>
      <c r="D53" s="7">
        <f>C53+Premissas!$B$9</f>
        <v>617.69696969696975</v>
      </c>
      <c r="E53" s="7">
        <f>C53+Premissas!$B$11</f>
        <v>623.69696969696975</v>
      </c>
      <c r="F53" s="7">
        <f>E53+Premissas!$B$8</f>
        <v>635.81818181818187</v>
      </c>
      <c r="G53" s="7">
        <f>Premissas!$B$11</f>
        <v>54</v>
      </c>
      <c r="H53" s="7">
        <f>Premissas!$B$12</f>
        <v>3</v>
      </c>
      <c r="I53" s="7" t="s">
        <v>47</v>
      </c>
      <c r="J53" s="8" t="s">
        <v>48</v>
      </c>
      <c r="K53" s="17" t="str">
        <f t="shared" si="88"/>
        <v/>
      </c>
      <c r="L53" s="17" t="str">
        <f t="shared" si="88"/>
        <v/>
      </c>
      <c r="M53" s="17" t="str">
        <f t="shared" si="88"/>
        <v/>
      </c>
      <c r="N53" s="17" t="str">
        <f t="shared" si="88"/>
        <v/>
      </c>
      <c r="O53" s="17" t="str">
        <f t="shared" si="88"/>
        <v/>
      </c>
      <c r="P53" s="17" t="str">
        <f t="shared" si="88"/>
        <v/>
      </c>
      <c r="Q53" s="17" t="str">
        <f t="shared" si="88"/>
        <v/>
      </c>
      <c r="R53" s="17" t="str">
        <f t="shared" si="88"/>
        <v/>
      </c>
      <c r="S53" s="17" t="str">
        <f t="shared" si="88"/>
        <v/>
      </c>
      <c r="T53" s="17" t="str">
        <f t="shared" si="88"/>
        <v/>
      </c>
      <c r="U53" s="17" t="str">
        <f t="shared" si="89"/>
        <v/>
      </c>
      <c r="V53" s="17" t="str">
        <f t="shared" si="89"/>
        <v/>
      </c>
      <c r="W53" s="17" t="str">
        <f t="shared" si="89"/>
        <v/>
      </c>
      <c r="X53" s="17" t="str">
        <f t="shared" si="89"/>
        <v/>
      </c>
      <c r="Y53" s="17" t="str">
        <f t="shared" si="89"/>
        <v/>
      </c>
      <c r="Z53" s="17" t="str">
        <f t="shared" si="89"/>
        <v/>
      </c>
      <c r="AA53" s="17" t="str">
        <f t="shared" si="89"/>
        <v/>
      </c>
      <c r="AB53" s="17" t="str">
        <f t="shared" si="89"/>
        <v/>
      </c>
      <c r="AC53" s="17" t="str">
        <f t="shared" si="89"/>
        <v/>
      </c>
      <c r="AD53" s="17" t="str">
        <f t="shared" si="89"/>
        <v/>
      </c>
      <c r="AE53" s="17" t="str">
        <f t="shared" si="90"/>
        <v/>
      </c>
      <c r="AF53" s="17" t="str">
        <f t="shared" si="90"/>
        <v/>
      </c>
      <c r="AG53" s="17" t="str">
        <f t="shared" si="90"/>
        <v/>
      </c>
      <c r="AH53" s="17" t="str">
        <f t="shared" si="90"/>
        <v/>
      </c>
      <c r="AI53" s="17" t="str">
        <f t="shared" si="90"/>
        <v/>
      </c>
      <c r="AJ53" s="17" t="str">
        <f t="shared" si="90"/>
        <v/>
      </c>
      <c r="AK53" s="17" t="str">
        <f t="shared" si="90"/>
        <v/>
      </c>
      <c r="AL53" s="17" t="str">
        <f t="shared" si="90"/>
        <v/>
      </c>
      <c r="AM53" s="17" t="str">
        <f t="shared" si="90"/>
        <v/>
      </c>
      <c r="AN53" s="17" t="str">
        <f t="shared" si="90"/>
        <v/>
      </c>
      <c r="AO53" s="17" t="str">
        <f t="shared" si="91"/>
        <v/>
      </c>
      <c r="AP53" s="17" t="str">
        <f t="shared" si="91"/>
        <v/>
      </c>
      <c r="AQ53" s="17" t="str">
        <f t="shared" si="91"/>
        <v/>
      </c>
      <c r="AR53" s="17" t="str">
        <f t="shared" si="91"/>
        <v/>
      </c>
      <c r="AS53" s="17" t="str">
        <f t="shared" si="91"/>
        <v/>
      </c>
      <c r="AT53" s="17" t="str">
        <f t="shared" si="91"/>
        <v/>
      </c>
      <c r="AU53" s="17" t="str">
        <f t="shared" si="91"/>
        <v/>
      </c>
      <c r="AV53" s="17" t="str">
        <f t="shared" si="91"/>
        <v/>
      </c>
      <c r="AW53" s="17" t="str">
        <f t="shared" si="91"/>
        <v/>
      </c>
      <c r="AX53" s="17" t="str">
        <f t="shared" si="91"/>
        <v/>
      </c>
      <c r="AY53" s="17" t="str">
        <f t="shared" si="92"/>
        <v/>
      </c>
      <c r="AZ53" s="17" t="str">
        <f t="shared" si="92"/>
        <v/>
      </c>
      <c r="BA53" s="17" t="str">
        <f t="shared" si="92"/>
        <v/>
      </c>
      <c r="BB53" s="17" t="str">
        <f t="shared" si="92"/>
        <v/>
      </c>
      <c r="BC53" s="17" t="str">
        <f t="shared" si="92"/>
        <v/>
      </c>
      <c r="BD53" s="17" t="str">
        <f t="shared" si="92"/>
        <v/>
      </c>
      <c r="BE53" s="17" t="str">
        <f t="shared" si="92"/>
        <v/>
      </c>
      <c r="BF53" s="17" t="str">
        <f t="shared" si="92"/>
        <v/>
      </c>
      <c r="BG53" s="17" t="str">
        <f t="shared" si="92"/>
        <v/>
      </c>
      <c r="BH53" s="17" t="str">
        <f t="shared" si="92"/>
        <v/>
      </c>
      <c r="BI53" s="17" t="str">
        <f t="shared" si="93"/>
        <v/>
      </c>
      <c r="BJ53" s="17" t="str">
        <f t="shared" si="93"/>
        <v/>
      </c>
      <c r="BK53" s="17" t="str">
        <f t="shared" si="93"/>
        <v/>
      </c>
      <c r="BL53" s="17" t="str">
        <f t="shared" si="93"/>
        <v/>
      </c>
      <c r="BM53" s="17" t="str">
        <f t="shared" si="93"/>
        <v/>
      </c>
      <c r="BN53" s="17" t="str">
        <f t="shared" si="93"/>
        <v/>
      </c>
      <c r="BO53" s="17" t="str">
        <f t="shared" si="93"/>
        <v/>
      </c>
      <c r="BP53" s="17" t="str">
        <f t="shared" si="93"/>
        <v/>
      </c>
      <c r="BQ53" s="17" t="str">
        <f t="shared" si="93"/>
        <v/>
      </c>
      <c r="BR53" s="17" t="str">
        <f t="shared" si="93"/>
        <v/>
      </c>
      <c r="BS53" s="17" t="str">
        <f t="shared" si="94"/>
        <v/>
      </c>
      <c r="BT53" s="17" t="str">
        <f t="shared" si="94"/>
        <v/>
      </c>
      <c r="BU53" s="17" t="str">
        <f t="shared" si="94"/>
        <v/>
      </c>
      <c r="BV53" s="17" t="str">
        <f t="shared" si="94"/>
        <v/>
      </c>
      <c r="BW53" s="17" t="str">
        <f t="shared" si="94"/>
        <v/>
      </c>
      <c r="BX53" s="17" t="str">
        <f t="shared" si="94"/>
        <v/>
      </c>
      <c r="BY53" s="17" t="str">
        <f t="shared" si="94"/>
        <v/>
      </c>
      <c r="BZ53" s="17" t="str">
        <f t="shared" si="94"/>
        <v/>
      </c>
      <c r="CA53" s="17" t="str">
        <f t="shared" si="94"/>
        <v/>
      </c>
      <c r="CB53" s="17" t="str">
        <f t="shared" si="94"/>
        <v/>
      </c>
      <c r="CC53" s="17" t="str">
        <f t="shared" si="95"/>
        <v/>
      </c>
      <c r="CD53" s="17" t="str">
        <f t="shared" si="95"/>
        <v/>
      </c>
      <c r="CE53" s="17" t="str">
        <f t="shared" si="95"/>
        <v/>
      </c>
      <c r="CF53" s="17" t="str">
        <f t="shared" si="95"/>
        <v/>
      </c>
      <c r="CG53" s="17" t="str">
        <f t="shared" si="95"/>
        <v/>
      </c>
      <c r="CH53" s="17" t="str">
        <f t="shared" si="95"/>
        <v/>
      </c>
      <c r="CI53" s="17" t="str">
        <f t="shared" si="95"/>
        <v/>
      </c>
      <c r="CJ53" s="17" t="str">
        <f t="shared" si="95"/>
        <v/>
      </c>
      <c r="CK53" s="17" t="str">
        <f t="shared" si="95"/>
        <v/>
      </c>
      <c r="CL53" s="17" t="str">
        <f t="shared" si="95"/>
        <v/>
      </c>
      <c r="CM53" s="17" t="str">
        <f t="shared" si="96"/>
        <v/>
      </c>
      <c r="CN53" s="17" t="str">
        <f t="shared" si="96"/>
        <v/>
      </c>
      <c r="CO53" s="17" t="str">
        <f t="shared" si="96"/>
        <v/>
      </c>
      <c r="CP53" s="17" t="str">
        <f t="shared" si="96"/>
        <v/>
      </c>
      <c r="CQ53" s="17" t="str">
        <f t="shared" si="96"/>
        <v/>
      </c>
      <c r="CR53" s="17" t="str">
        <f t="shared" si="96"/>
        <v/>
      </c>
      <c r="CS53" s="17" t="str">
        <f t="shared" si="96"/>
        <v/>
      </c>
      <c r="CT53" s="17" t="str">
        <f t="shared" si="96"/>
        <v/>
      </c>
      <c r="CU53" s="17" t="str">
        <f t="shared" si="96"/>
        <v/>
      </c>
      <c r="CV53" s="17" t="str">
        <f t="shared" si="96"/>
        <v/>
      </c>
      <c r="CW53" s="17" t="str">
        <f t="shared" si="97"/>
        <v/>
      </c>
      <c r="CX53" s="17" t="str">
        <f t="shared" si="97"/>
        <v/>
      </c>
      <c r="CY53" s="17" t="str">
        <f t="shared" si="97"/>
        <v/>
      </c>
      <c r="CZ53" s="17" t="str">
        <f t="shared" si="97"/>
        <v/>
      </c>
      <c r="DA53" s="17" t="str">
        <f t="shared" si="97"/>
        <v/>
      </c>
      <c r="DB53" s="17" t="str">
        <f t="shared" si="97"/>
        <v/>
      </c>
      <c r="DC53" s="17" t="str">
        <f t="shared" si="97"/>
        <v/>
      </c>
      <c r="DD53" s="17" t="str">
        <f t="shared" si="97"/>
        <v/>
      </c>
      <c r="DE53" s="17" t="str">
        <f t="shared" si="97"/>
        <v/>
      </c>
      <c r="DF53" s="17" t="str">
        <f t="shared" si="97"/>
        <v/>
      </c>
      <c r="DG53" s="17" t="str">
        <f t="shared" si="98"/>
        <v/>
      </c>
      <c r="DH53" s="17" t="str">
        <f t="shared" si="98"/>
        <v/>
      </c>
      <c r="DI53" s="17" t="str">
        <f t="shared" si="98"/>
        <v/>
      </c>
      <c r="DJ53" s="17" t="str">
        <f t="shared" si="98"/>
        <v/>
      </c>
      <c r="DK53" s="17" t="str">
        <f t="shared" si="98"/>
        <v/>
      </c>
      <c r="DL53" s="17" t="str">
        <f t="shared" si="98"/>
        <v/>
      </c>
      <c r="DM53" s="17" t="str">
        <f t="shared" si="98"/>
        <v/>
      </c>
      <c r="DN53" s="17" t="str">
        <f t="shared" si="98"/>
        <v/>
      </c>
      <c r="DO53" s="17" t="str">
        <f t="shared" si="98"/>
        <v/>
      </c>
      <c r="DP53" s="17" t="str">
        <f t="shared" si="98"/>
        <v/>
      </c>
      <c r="DQ53" s="17" t="str">
        <f t="shared" si="99"/>
        <v/>
      </c>
      <c r="DR53" s="17" t="str">
        <f t="shared" si="99"/>
        <v/>
      </c>
      <c r="DS53" s="17" t="str">
        <f t="shared" si="99"/>
        <v/>
      </c>
      <c r="DT53" s="17" t="str">
        <f t="shared" si="99"/>
        <v/>
      </c>
      <c r="DU53" s="17" t="str">
        <f t="shared" si="99"/>
        <v/>
      </c>
      <c r="DV53" s="17" t="str">
        <f t="shared" si="99"/>
        <v/>
      </c>
      <c r="DW53" s="17" t="str">
        <f t="shared" si="99"/>
        <v/>
      </c>
      <c r="DX53" s="17" t="str">
        <f t="shared" si="99"/>
        <v/>
      </c>
      <c r="DY53" s="17" t="str">
        <f t="shared" si="99"/>
        <v/>
      </c>
      <c r="DZ53" s="17" t="str">
        <f t="shared" si="99"/>
        <v/>
      </c>
      <c r="EA53" s="17" t="str">
        <f t="shared" si="100"/>
        <v/>
      </c>
      <c r="EB53" s="17" t="str">
        <f t="shared" si="100"/>
        <v/>
      </c>
      <c r="EC53" s="17" t="str">
        <f t="shared" si="100"/>
        <v/>
      </c>
      <c r="ED53" s="17" t="str">
        <f t="shared" si="100"/>
        <v/>
      </c>
      <c r="EE53" s="17" t="str">
        <f t="shared" si="100"/>
        <v/>
      </c>
      <c r="EF53" s="17" t="str">
        <f t="shared" si="100"/>
        <v/>
      </c>
      <c r="EG53" s="17" t="str">
        <f t="shared" si="100"/>
        <v/>
      </c>
      <c r="EH53" s="17" t="str">
        <f t="shared" si="100"/>
        <v/>
      </c>
      <c r="EI53" s="17" t="str">
        <f t="shared" si="100"/>
        <v/>
      </c>
      <c r="EJ53" s="17" t="str">
        <f t="shared" si="100"/>
        <v/>
      </c>
      <c r="EK53" s="17" t="str">
        <f t="shared" si="101"/>
        <v/>
      </c>
      <c r="EL53" s="17" t="str">
        <f t="shared" si="101"/>
        <v/>
      </c>
      <c r="EM53" s="17" t="str">
        <f t="shared" si="101"/>
        <v/>
      </c>
      <c r="EN53" s="17" t="str">
        <f t="shared" si="101"/>
        <v/>
      </c>
      <c r="EO53" s="17" t="str">
        <f t="shared" si="101"/>
        <v/>
      </c>
      <c r="EP53" s="17" t="str">
        <f t="shared" si="101"/>
        <v/>
      </c>
      <c r="EQ53" s="17" t="str">
        <f t="shared" si="101"/>
        <v/>
      </c>
      <c r="ER53" s="17" t="str">
        <f t="shared" si="101"/>
        <v/>
      </c>
      <c r="ES53" s="17" t="str">
        <f t="shared" si="101"/>
        <v/>
      </c>
      <c r="ET53" s="17" t="str">
        <f t="shared" si="101"/>
        <v/>
      </c>
      <c r="EU53" s="17" t="str">
        <f t="shared" si="102"/>
        <v/>
      </c>
      <c r="EV53" s="17" t="str">
        <f t="shared" si="102"/>
        <v/>
      </c>
      <c r="EW53" s="17" t="str">
        <f t="shared" si="102"/>
        <v/>
      </c>
      <c r="EX53" s="17" t="str">
        <f t="shared" si="102"/>
        <v/>
      </c>
      <c r="EY53" s="17" t="str">
        <f t="shared" si="102"/>
        <v/>
      </c>
      <c r="EZ53" s="17" t="str">
        <f t="shared" si="102"/>
        <v/>
      </c>
      <c r="FA53" s="17" t="str">
        <f t="shared" si="102"/>
        <v/>
      </c>
      <c r="FB53" s="17" t="str">
        <f t="shared" si="102"/>
        <v/>
      </c>
      <c r="FC53" s="17" t="str">
        <f t="shared" si="102"/>
        <v/>
      </c>
      <c r="FD53" s="17" t="str">
        <f t="shared" si="102"/>
        <v/>
      </c>
      <c r="FE53" s="17" t="str">
        <f t="shared" si="103"/>
        <v/>
      </c>
      <c r="FF53" s="17" t="str">
        <f t="shared" si="103"/>
        <v/>
      </c>
      <c r="FG53" s="17" t="str">
        <f t="shared" si="103"/>
        <v/>
      </c>
      <c r="FH53" s="17" t="str">
        <f t="shared" si="103"/>
        <v/>
      </c>
      <c r="FI53" s="17" t="str">
        <f t="shared" si="103"/>
        <v/>
      </c>
      <c r="FJ53" s="17" t="str">
        <f t="shared" si="103"/>
        <v/>
      </c>
      <c r="FK53" s="17" t="str">
        <f t="shared" si="103"/>
        <v/>
      </c>
      <c r="FL53" s="17" t="str">
        <f t="shared" si="103"/>
        <v/>
      </c>
      <c r="FM53" s="17" t="str">
        <f t="shared" si="103"/>
        <v/>
      </c>
      <c r="FN53" s="17" t="str">
        <f t="shared" si="103"/>
        <v/>
      </c>
      <c r="FO53" s="17" t="str">
        <f t="shared" si="104"/>
        <v/>
      </c>
      <c r="FP53" s="17" t="str">
        <f t="shared" si="104"/>
        <v/>
      </c>
      <c r="FQ53" s="17" t="str">
        <f t="shared" si="104"/>
        <v/>
      </c>
      <c r="FR53" s="17" t="str">
        <f t="shared" si="104"/>
        <v/>
      </c>
      <c r="FS53" s="17" t="str">
        <f t="shared" si="104"/>
        <v/>
      </c>
      <c r="FT53" s="17" t="str">
        <f t="shared" si="104"/>
        <v/>
      </c>
      <c r="FU53" s="17" t="str">
        <f t="shared" si="104"/>
        <v/>
      </c>
      <c r="FV53" s="17" t="str">
        <f t="shared" si="104"/>
        <v/>
      </c>
      <c r="FW53" s="17" t="str">
        <f t="shared" si="104"/>
        <v/>
      </c>
      <c r="FX53" s="17" t="str">
        <f t="shared" si="104"/>
        <v/>
      </c>
      <c r="FY53" s="17" t="str">
        <f t="shared" si="105"/>
        <v/>
      </c>
      <c r="FZ53" s="17" t="str">
        <f t="shared" si="105"/>
        <v/>
      </c>
      <c r="GA53" s="17" t="str">
        <f t="shared" si="105"/>
        <v/>
      </c>
      <c r="GB53" s="17" t="str">
        <f t="shared" si="105"/>
        <v/>
      </c>
      <c r="GC53" s="17" t="str">
        <f t="shared" si="105"/>
        <v/>
      </c>
      <c r="GD53" s="17" t="str">
        <f t="shared" si="105"/>
        <v/>
      </c>
      <c r="GE53" s="17" t="str">
        <f t="shared" si="105"/>
        <v/>
      </c>
      <c r="GF53" s="17" t="str">
        <f t="shared" si="105"/>
        <v/>
      </c>
      <c r="GG53" s="17" t="str">
        <f t="shared" si="105"/>
        <v/>
      </c>
      <c r="GH53" s="17" t="str">
        <f t="shared" si="105"/>
        <v/>
      </c>
      <c r="GI53" s="17" t="str">
        <f t="shared" si="106"/>
        <v/>
      </c>
      <c r="GJ53" s="17" t="str">
        <f t="shared" si="106"/>
        <v/>
      </c>
      <c r="GK53" s="17" t="str">
        <f t="shared" si="106"/>
        <v/>
      </c>
      <c r="GL53" s="17" t="str">
        <f t="shared" si="106"/>
        <v/>
      </c>
      <c r="GM53" s="17" t="str">
        <f t="shared" si="106"/>
        <v/>
      </c>
      <c r="GN53" s="17" t="str">
        <f t="shared" si="106"/>
        <v/>
      </c>
      <c r="GO53" s="17" t="str">
        <f t="shared" si="106"/>
        <v/>
      </c>
      <c r="GP53" s="17" t="str">
        <f t="shared" si="106"/>
        <v/>
      </c>
      <c r="GQ53" s="17" t="str">
        <f t="shared" si="106"/>
        <v/>
      </c>
      <c r="GR53" s="17" t="str">
        <f t="shared" si="106"/>
        <v/>
      </c>
      <c r="GS53" s="17" t="str">
        <f t="shared" si="107"/>
        <v>R</v>
      </c>
      <c r="GT53" s="17" t="str">
        <f t="shared" si="107"/>
        <v>R</v>
      </c>
      <c r="GU53" s="17" t="str">
        <f t="shared" si="107"/>
        <v>R</v>
      </c>
      <c r="GV53" s="17" t="str">
        <f t="shared" si="107"/>
        <v>R</v>
      </c>
      <c r="GW53" s="17" t="str">
        <f t="shared" si="107"/>
        <v>R</v>
      </c>
      <c r="GX53" s="17" t="str">
        <f t="shared" si="107"/>
        <v>R</v>
      </c>
      <c r="GY53" s="17" t="str">
        <f t="shared" si="107"/>
        <v>R</v>
      </c>
      <c r="GZ53" s="17" t="str">
        <f t="shared" si="107"/>
        <v>R</v>
      </c>
      <c r="HA53" s="17" t="str">
        <f t="shared" si="107"/>
        <v>R</v>
      </c>
      <c r="HB53" s="17" t="str">
        <f t="shared" si="107"/>
        <v>R</v>
      </c>
      <c r="HC53" s="17" t="str">
        <f t="shared" si="108"/>
        <v>R</v>
      </c>
      <c r="HD53" s="17" t="str">
        <f t="shared" si="108"/>
        <v>R</v>
      </c>
      <c r="HE53" s="17" t="str">
        <f t="shared" si="108"/>
        <v>R</v>
      </c>
      <c r="HF53" s="17" t="str">
        <f t="shared" si="108"/>
        <v>R</v>
      </c>
      <c r="HG53" s="17" t="str">
        <f t="shared" si="108"/>
        <v>R</v>
      </c>
      <c r="HH53" s="17" t="str">
        <f t="shared" si="108"/>
        <v>R</v>
      </c>
      <c r="HI53" s="17" t="str">
        <f t="shared" si="108"/>
        <v>P</v>
      </c>
      <c r="HJ53" s="17" t="str">
        <f t="shared" si="108"/>
        <v>P</v>
      </c>
      <c r="HK53" s="17" t="str">
        <f t="shared" si="108"/>
        <v>T</v>
      </c>
      <c r="HL53" s="17" t="str">
        <f t="shared" si="108"/>
        <v>T</v>
      </c>
      <c r="HM53" s="17" t="str">
        <f t="shared" si="109"/>
        <v>T</v>
      </c>
      <c r="HN53" s="17" t="str">
        <f t="shared" si="109"/>
        <v>T</v>
      </c>
      <c r="HO53" s="17" t="str">
        <f t="shared" si="109"/>
        <v/>
      </c>
      <c r="HP53" s="17" t="str">
        <f t="shared" si="109"/>
        <v/>
      </c>
      <c r="HQ53" s="17" t="str">
        <f t="shared" si="109"/>
        <v/>
      </c>
      <c r="HR53" s="17" t="str">
        <f t="shared" si="109"/>
        <v/>
      </c>
      <c r="HS53" s="17" t="str">
        <f t="shared" si="109"/>
        <v/>
      </c>
      <c r="HT53" s="17" t="str">
        <f t="shared" si="109"/>
        <v/>
      </c>
      <c r="HU53" s="17" t="str">
        <f t="shared" si="109"/>
        <v/>
      </c>
      <c r="HV53" s="17" t="str">
        <f t="shared" si="109"/>
        <v/>
      </c>
      <c r="HW53" s="17" t="str">
        <f t="shared" si="109"/>
        <v/>
      </c>
      <c r="HX53" s="17" t="str">
        <f t="shared" si="109"/>
        <v/>
      </c>
      <c r="HY53" s="17" t="str">
        <f t="shared" si="109"/>
        <v/>
      </c>
      <c r="HZ53" s="17" t="str">
        <f t="shared" si="109"/>
        <v/>
      </c>
      <c r="IA53" s="17" t="str">
        <f t="shared" si="109"/>
        <v/>
      </c>
    </row>
    <row r="54" spans="1:235" ht="25.95" customHeight="1" x14ac:dyDescent="0.3">
      <c r="A54" s="7">
        <v>49</v>
      </c>
      <c r="B54" s="7">
        <f>Premissas!$B$6</f>
        <v>6</v>
      </c>
      <c r="C54" s="7">
        <f>48*Premissas!$B$8</f>
        <v>581.81818181818187</v>
      </c>
      <c r="D54" s="7">
        <f>C54+Premissas!$B$9</f>
        <v>629.81818181818187</v>
      </c>
      <c r="E54" s="7">
        <f>C54+Premissas!$B$11</f>
        <v>635.81818181818187</v>
      </c>
      <c r="F54" s="7">
        <f>E54+Premissas!$B$8</f>
        <v>647.93939393939399</v>
      </c>
      <c r="G54" s="7">
        <f>Premissas!$B$11</f>
        <v>54</v>
      </c>
      <c r="H54" s="7">
        <f>Premissas!$B$12</f>
        <v>3</v>
      </c>
      <c r="I54" s="7" t="s">
        <v>47</v>
      </c>
      <c r="J54" s="8" t="s">
        <v>48</v>
      </c>
      <c r="K54" s="17" t="str">
        <f t="shared" si="88"/>
        <v/>
      </c>
      <c r="L54" s="17" t="str">
        <f t="shared" si="88"/>
        <v/>
      </c>
      <c r="M54" s="17" t="str">
        <f t="shared" si="88"/>
        <v/>
      </c>
      <c r="N54" s="17" t="str">
        <f t="shared" si="88"/>
        <v/>
      </c>
      <c r="O54" s="17" t="str">
        <f t="shared" si="88"/>
        <v/>
      </c>
      <c r="P54" s="17" t="str">
        <f t="shared" si="88"/>
        <v/>
      </c>
      <c r="Q54" s="17" t="str">
        <f t="shared" si="88"/>
        <v/>
      </c>
      <c r="R54" s="17" t="str">
        <f t="shared" si="88"/>
        <v/>
      </c>
      <c r="S54" s="17" t="str">
        <f t="shared" si="88"/>
        <v/>
      </c>
      <c r="T54" s="17" t="str">
        <f t="shared" si="88"/>
        <v/>
      </c>
      <c r="U54" s="17" t="str">
        <f t="shared" si="89"/>
        <v/>
      </c>
      <c r="V54" s="17" t="str">
        <f t="shared" si="89"/>
        <v/>
      </c>
      <c r="W54" s="17" t="str">
        <f t="shared" si="89"/>
        <v/>
      </c>
      <c r="X54" s="17" t="str">
        <f t="shared" si="89"/>
        <v/>
      </c>
      <c r="Y54" s="17" t="str">
        <f t="shared" si="89"/>
        <v/>
      </c>
      <c r="Z54" s="17" t="str">
        <f t="shared" si="89"/>
        <v/>
      </c>
      <c r="AA54" s="17" t="str">
        <f t="shared" si="89"/>
        <v/>
      </c>
      <c r="AB54" s="17" t="str">
        <f t="shared" si="89"/>
        <v/>
      </c>
      <c r="AC54" s="17" t="str">
        <f t="shared" si="89"/>
        <v/>
      </c>
      <c r="AD54" s="17" t="str">
        <f t="shared" si="89"/>
        <v/>
      </c>
      <c r="AE54" s="17" t="str">
        <f t="shared" si="90"/>
        <v/>
      </c>
      <c r="AF54" s="17" t="str">
        <f t="shared" si="90"/>
        <v/>
      </c>
      <c r="AG54" s="17" t="str">
        <f t="shared" si="90"/>
        <v/>
      </c>
      <c r="AH54" s="17" t="str">
        <f t="shared" si="90"/>
        <v/>
      </c>
      <c r="AI54" s="17" t="str">
        <f t="shared" si="90"/>
        <v/>
      </c>
      <c r="AJ54" s="17" t="str">
        <f t="shared" si="90"/>
        <v/>
      </c>
      <c r="AK54" s="17" t="str">
        <f t="shared" si="90"/>
        <v/>
      </c>
      <c r="AL54" s="17" t="str">
        <f t="shared" si="90"/>
        <v/>
      </c>
      <c r="AM54" s="17" t="str">
        <f t="shared" si="90"/>
        <v/>
      </c>
      <c r="AN54" s="17" t="str">
        <f t="shared" si="90"/>
        <v/>
      </c>
      <c r="AO54" s="17" t="str">
        <f t="shared" si="91"/>
        <v/>
      </c>
      <c r="AP54" s="17" t="str">
        <f t="shared" si="91"/>
        <v/>
      </c>
      <c r="AQ54" s="17" t="str">
        <f t="shared" si="91"/>
        <v/>
      </c>
      <c r="AR54" s="17" t="str">
        <f t="shared" si="91"/>
        <v/>
      </c>
      <c r="AS54" s="17" t="str">
        <f t="shared" si="91"/>
        <v/>
      </c>
      <c r="AT54" s="17" t="str">
        <f t="shared" si="91"/>
        <v/>
      </c>
      <c r="AU54" s="17" t="str">
        <f t="shared" si="91"/>
        <v/>
      </c>
      <c r="AV54" s="17" t="str">
        <f t="shared" si="91"/>
        <v/>
      </c>
      <c r="AW54" s="17" t="str">
        <f t="shared" si="91"/>
        <v/>
      </c>
      <c r="AX54" s="17" t="str">
        <f t="shared" si="91"/>
        <v/>
      </c>
      <c r="AY54" s="17" t="str">
        <f t="shared" si="92"/>
        <v/>
      </c>
      <c r="AZ54" s="17" t="str">
        <f t="shared" si="92"/>
        <v/>
      </c>
      <c r="BA54" s="17" t="str">
        <f t="shared" si="92"/>
        <v/>
      </c>
      <c r="BB54" s="17" t="str">
        <f t="shared" si="92"/>
        <v/>
      </c>
      <c r="BC54" s="17" t="str">
        <f t="shared" si="92"/>
        <v/>
      </c>
      <c r="BD54" s="17" t="str">
        <f t="shared" si="92"/>
        <v/>
      </c>
      <c r="BE54" s="17" t="str">
        <f t="shared" si="92"/>
        <v/>
      </c>
      <c r="BF54" s="17" t="str">
        <f t="shared" si="92"/>
        <v/>
      </c>
      <c r="BG54" s="17" t="str">
        <f t="shared" si="92"/>
        <v/>
      </c>
      <c r="BH54" s="17" t="str">
        <f t="shared" si="92"/>
        <v/>
      </c>
      <c r="BI54" s="17" t="str">
        <f t="shared" si="93"/>
        <v/>
      </c>
      <c r="BJ54" s="17" t="str">
        <f t="shared" si="93"/>
        <v/>
      </c>
      <c r="BK54" s="17" t="str">
        <f t="shared" si="93"/>
        <v/>
      </c>
      <c r="BL54" s="17" t="str">
        <f t="shared" si="93"/>
        <v/>
      </c>
      <c r="BM54" s="17" t="str">
        <f t="shared" si="93"/>
        <v/>
      </c>
      <c r="BN54" s="17" t="str">
        <f t="shared" si="93"/>
        <v/>
      </c>
      <c r="BO54" s="17" t="str">
        <f t="shared" si="93"/>
        <v/>
      </c>
      <c r="BP54" s="17" t="str">
        <f t="shared" si="93"/>
        <v/>
      </c>
      <c r="BQ54" s="17" t="str">
        <f t="shared" si="93"/>
        <v/>
      </c>
      <c r="BR54" s="17" t="str">
        <f t="shared" si="93"/>
        <v/>
      </c>
      <c r="BS54" s="17" t="str">
        <f t="shared" si="94"/>
        <v/>
      </c>
      <c r="BT54" s="17" t="str">
        <f t="shared" si="94"/>
        <v/>
      </c>
      <c r="BU54" s="17" t="str">
        <f t="shared" si="94"/>
        <v/>
      </c>
      <c r="BV54" s="17" t="str">
        <f t="shared" si="94"/>
        <v/>
      </c>
      <c r="BW54" s="17" t="str">
        <f t="shared" si="94"/>
        <v/>
      </c>
      <c r="BX54" s="17" t="str">
        <f t="shared" si="94"/>
        <v/>
      </c>
      <c r="BY54" s="17" t="str">
        <f t="shared" si="94"/>
        <v/>
      </c>
      <c r="BZ54" s="17" t="str">
        <f t="shared" si="94"/>
        <v/>
      </c>
      <c r="CA54" s="17" t="str">
        <f t="shared" si="94"/>
        <v/>
      </c>
      <c r="CB54" s="17" t="str">
        <f t="shared" si="94"/>
        <v/>
      </c>
      <c r="CC54" s="17" t="str">
        <f t="shared" si="95"/>
        <v/>
      </c>
      <c r="CD54" s="17" t="str">
        <f t="shared" si="95"/>
        <v/>
      </c>
      <c r="CE54" s="17" t="str">
        <f t="shared" si="95"/>
        <v/>
      </c>
      <c r="CF54" s="17" t="str">
        <f t="shared" si="95"/>
        <v/>
      </c>
      <c r="CG54" s="17" t="str">
        <f t="shared" si="95"/>
        <v/>
      </c>
      <c r="CH54" s="17" t="str">
        <f t="shared" si="95"/>
        <v/>
      </c>
      <c r="CI54" s="17" t="str">
        <f t="shared" si="95"/>
        <v/>
      </c>
      <c r="CJ54" s="17" t="str">
        <f t="shared" si="95"/>
        <v/>
      </c>
      <c r="CK54" s="17" t="str">
        <f t="shared" si="95"/>
        <v/>
      </c>
      <c r="CL54" s="17" t="str">
        <f t="shared" si="95"/>
        <v/>
      </c>
      <c r="CM54" s="17" t="str">
        <f t="shared" si="96"/>
        <v/>
      </c>
      <c r="CN54" s="17" t="str">
        <f t="shared" si="96"/>
        <v/>
      </c>
      <c r="CO54" s="17" t="str">
        <f t="shared" si="96"/>
        <v/>
      </c>
      <c r="CP54" s="17" t="str">
        <f t="shared" si="96"/>
        <v/>
      </c>
      <c r="CQ54" s="17" t="str">
        <f t="shared" si="96"/>
        <v/>
      </c>
      <c r="CR54" s="17" t="str">
        <f t="shared" si="96"/>
        <v/>
      </c>
      <c r="CS54" s="17" t="str">
        <f t="shared" si="96"/>
        <v/>
      </c>
      <c r="CT54" s="17" t="str">
        <f t="shared" si="96"/>
        <v/>
      </c>
      <c r="CU54" s="17" t="str">
        <f t="shared" si="96"/>
        <v/>
      </c>
      <c r="CV54" s="17" t="str">
        <f t="shared" si="96"/>
        <v/>
      </c>
      <c r="CW54" s="17" t="str">
        <f t="shared" si="97"/>
        <v/>
      </c>
      <c r="CX54" s="17" t="str">
        <f t="shared" si="97"/>
        <v/>
      </c>
      <c r="CY54" s="17" t="str">
        <f t="shared" si="97"/>
        <v/>
      </c>
      <c r="CZ54" s="17" t="str">
        <f t="shared" si="97"/>
        <v/>
      </c>
      <c r="DA54" s="17" t="str">
        <f t="shared" si="97"/>
        <v/>
      </c>
      <c r="DB54" s="17" t="str">
        <f t="shared" si="97"/>
        <v/>
      </c>
      <c r="DC54" s="17" t="str">
        <f t="shared" si="97"/>
        <v/>
      </c>
      <c r="DD54" s="17" t="str">
        <f t="shared" si="97"/>
        <v/>
      </c>
      <c r="DE54" s="17" t="str">
        <f t="shared" si="97"/>
        <v/>
      </c>
      <c r="DF54" s="17" t="str">
        <f t="shared" si="97"/>
        <v/>
      </c>
      <c r="DG54" s="17" t="str">
        <f t="shared" si="98"/>
        <v/>
      </c>
      <c r="DH54" s="17" t="str">
        <f t="shared" si="98"/>
        <v/>
      </c>
      <c r="DI54" s="17" t="str">
        <f t="shared" si="98"/>
        <v/>
      </c>
      <c r="DJ54" s="17" t="str">
        <f t="shared" si="98"/>
        <v/>
      </c>
      <c r="DK54" s="17" t="str">
        <f t="shared" si="98"/>
        <v/>
      </c>
      <c r="DL54" s="17" t="str">
        <f t="shared" si="98"/>
        <v/>
      </c>
      <c r="DM54" s="17" t="str">
        <f t="shared" si="98"/>
        <v/>
      </c>
      <c r="DN54" s="17" t="str">
        <f t="shared" si="98"/>
        <v/>
      </c>
      <c r="DO54" s="17" t="str">
        <f t="shared" si="98"/>
        <v/>
      </c>
      <c r="DP54" s="17" t="str">
        <f t="shared" si="98"/>
        <v/>
      </c>
      <c r="DQ54" s="17" t="str">
        <f t="shared" si="99"/>
        <v/>
      </c>
      <c r="DR54" s="17" t="str">
        <f t="shared" si="99"/>
        <v/>
      </c>
      <c r="DS54" s="17" t="str">
        <f t="shared" si="99"/>
        <v/>
      </c>
      <c r="DT54" s="17" t="str">
        <f t="shared" si="99"/>
        <v/>
      </c>
      <c r="DU54" s="17" t="str">
        <f t="shared" si="99"/>
        <v/>
      </c>
      <c r="DV54" s="17" t="str">
        <f t="shared" si="99"/>
        <v/>
      </c>
      <c r="DW54" s="17" t="str">
        <f t="shared" si="99"/>
        <v/>
      </c>
      <c r="DX54" s="17" t="str">
        <f t="shared" si="99"/>
        <v/>
      </c>
      <c r="DY54" s="17" t="str">
        <f t="shared" si="99"/>
        <v/>
      </c>
      <c r="DZ54" s="17" t="str">
        <f t="shared" si="99"/>
        <v/>
      </c>
      <c r="EA54" s="17" t="str">
        <f t="shared" si="100"/>
        <v/>
      </c>
      <c r="EB54" s="17" t="str">
        <f t="shared" si="100"/>
        <v/>
      </c>
      <c r="EC54" s="17" t="str">
        <f t="shared" si="100"/>
        <v/>
      </c>
      <c r="ED54" s="17" t="str">
        <f t="shared" si="100"/>
        <v/>
      </c>
      <c r="EE54" s="17" t="str">
        <f t="shared" si="100"/>
        <v/>
      </c>
      <c r="EF54" s="17" t="str">
        <f t="shared" si="100"/>
        <v/>
      </c>
      <c r="EG54" s="17" t="str">
        <f t="shared" si="100"/>
        <v/>
      </c>
      <c r="EH54" s="17" t="str">
        <f t="shared" si="100"/>
        <v/>
      </c>
      <c r="EI54" s="17" t="str">
        <f t="shared" si="100"/>
        <v/>
      </c>
      <c r="EJ54" s="17" t="str">
        <f t="shared" si="100"/>
        <v/>
      </c>
      <c r="EK54" s="17" t="str">
        <f t="shared" si="101"/>
        <v/>
      </c>
      <c r="EL54" s="17" t="str">
        <f t="shared" si="101"/>
        <v/>
      </c>
      <c r="EM54" s="17" t="str">
        <f t="shared" si="101"/>
        <v/>
      </c>
      <c r="EN54" s="17" t="str">
        <f t="shared" si="101"/>
        <v/>
      </c>
      <c r="EO54" s="17" t="str">
        <f t="shared" si="101"/>
        <v/>
      </c>
      <c r="EP54" s="17" t="str">
        <f t="shared" si="101"/>
        <v/>
      </c>
      <c r="EQ54" s="17" t="str">
        <f t="shared" si="101"/>
        <v/>
      </c>
      <c r="ER54" s="17" t="str">
        <f t="shared" si="101"/>
        <v/>
      </c>
      <c r="ES54" s="17" t="str">
        <f t="shared" si="101"/>
        <v/>
      </c>
      <c r="ET54" s="17" t="str">
        <f t="shared" si="101"/>
        <v/>
      </c>
      <c r="EU54" s="17" t="str">
        <f t="shared" si="102"/>
        <v/>
      </c>
      <c r="EV54" s="17" t="str">
        <f t="shared" si="102"/>
        <v/>
      </c>
      <c r="EW54" s="17" t="str">
        <f t="shared" si="102"/>
        <v/>
      </c>
      <c r="EX54" s="17" t="str">
        <f t="shared" si="102"/>
        <v/>
      </c>
      <c r="EY54" s="17" t="str">
        <f t="shared" si="102"/>
        <v/>
      </c>
      <c r="EZ54" s="17" t="str">
        <f t="shared" si="102"/>
        <v/>
      </c>
      <c r="FA54" s="17" t="str">
        <f t="shared" si="102"/>
        <v/>
      </c>
      <c r="FB54" s="17" t="str">
        <f t="shared" si="102"/>
        <v/>
      </c>
      <c r="FC54" s="17" t="str">
        <f t="shared" si="102"/>
        <v/>
      </c>
      <c r="FD54" s="17" t="str">
        <f t="shared" si="102"/>
        <v/>
      </c>
      <c r="FE54" s="17" t="str">
        <f t="shared" si="103"/>
        <v/>
      </c>
      <c r="FF54" s="17" t="str">
        <f t="shared" si="103"/>
        <v/>
      </c>
      <c r="FG54" s="17" t="str">
        <f t="shared" si="103"/>
        <v/>
      </c>
      <c r="FH54" s="17" t="str">
        <f t="shared" si="103"/>
        <v/>
      </c>
      <c r="FI54" s="17" t="str">
        <f t="shared" si="103"/>
        <v/>
      </c>
      <c r="FJ54" s="17" t="str">
        <f t="shared" si="103"/>
        <v/>
      </c>
      <c r="FK54" s="17" t="str">
        <f t="shared" si="103"/>
        <v/>
      </c>
      <c r="FL54" s="17" t="str">
        <f t="shared" si="103"/>
        <v/>
      </c>
      <c r="FM54" s="17" t="str">
        <f t="shared" si="103"/>
        <v/>
      </c>
      <c r="FN54" s="17" t="str">
        <f t="shared" si="103"/>
        <v/>
      </c>
      <c r="FO54" s="17" t="str">
        <f t="shared" si="104"/>
        <v/>
      </c>
      <c r="FP54" s="17" t="str">
        <f t="shared" si="104"/>
        <v/>
      </c>
      <c r="FQ54" s="17" t="str">
        <f t="shared" si="104"/>
        <v/>
      </c>
      <c r="FR54" s="17" t="str">
        <f t="shared" si="104"/>
        <v/>
      </c>
      <c r="FS54" s="17" t="str">
        <f t="shared" si="104"/>
        <v/>
      </c>
      <c r="FT54" s="17" t="str">
        <f t="shared" si="104"/>
        <v/>
      </c>
      <c r="FU54" s="17" t="str">
        <f t="shared" si="104"/>
        <v/>
      </c>
      <c r="FV54" s="17" t="str">
        <f t="shared" si="104"/>
        <v/>
      </c>
      <c r="FW54" s="17" t="str">
        <f t="shared" si="104"/>
        <v/>
      </c>
      <c r="FX54" s="17" t="str">
        <f t="shared" si="104"/>
        <v/>
      </c>
      <c r="FY54" s="17" t="str">
        <f t="shared" si="105"/>
        <v/>
      </c>
      <c r="FZ54" s="17" t="str">
        <f t="shared" si="105"/>
        <v/>
      </c>
      <c r="GA54" s="17" t="str">
        <f t="shared" si="105"/>
        <v/>
      </c>
      <c r="GB54" s="17" t="str">
        <f t="shared" si="105"/>
        <v/>
      </c>
      <c r="GC54" s="17" t="str">
        <f t="shared" si="105"/>
        <v/>
      </c>
      <c r="GD54" s="17" t="str">
        <f t="shared" si="105"/>
        <v/>
      </c>
      <c r="GE54" s="17" t="str">
        <f t="shared" si="105"/>
        <v/>
      </c>
      <c r="GF54" s="17" t="str">
        <f t="shared" si="105"/>
        <v/>
      </c>
      <c r="GG54" s="17" t="str">
        <f t="shared" si="105"/>
        <v/>
      </c>
      <c r="GH54" s="17" t="str">
        <f t="shared" si="105"/>
        <v/>
      </c>
      <c r="GI54" s="17" t="str">
        <f t="shared" si="106"/>
        <v/>
      </c>
      <c r="GJ54" s="17" t="str">
        <f t="shared" si="106"/>
        <v/>
      </c>
      <c r="GK54" s="17" t="str">
        <f t="shared" si="106"/>
        <v/>
      </c>
      <c r="GL54" s="17" t="str">
        <f t="shared" si="106"/>
        <v/>
      </c>
      <c r="GM54" s="17" t="str">
        <f t="shared" si="106"/>
        <v/>
      </c>
      <c r="GN54" s="17" t="str">
        <f t="shared" si="106"/>
        <v/>
      </c>
      <c r="GO54" s="17" t="str">
        <f t="shared" si="106"/>
        <v/>
      </c>
      <c r="GP54" s="17" t="str">
        <f t="shared" si="106"/>
        <v/>
      </c>
      <c r="GQ54" s="17" t="str">
        <f t="shared" si="106"/>
        <v/>
      </c>
      <c r="GR54" s="17" t="str">
        <f t="shared" si="106"/>
        <v/>
      </c>
      <c r="GS54" s="17" t="str">
        <f t="shared" si="107"/>
        <v/>
      </c>
      <c r="GT54" s="17" t="str">
        <f t="shared" si="107"/>
        <v/>
      </c>
      <c r="GU54" s="17" t="str">
        <f t="shared" si="107"/>
        <v/>
      </c>
      <c r="GV54" s="17" t="str">
        <f t="shared" si="107"/>
        <v/>
      </c>
      <c r="GW54" s="17" t="str">
        <f t="shared" si="107"/>
        <v>R</v>
      </c>
      <c r="GX54" s="17" t="str">
        <f t="shared" si="107"/>
        <v>R</v>
      </c>
      <c r="GY54" s="17" t="str">
        <f t="shared" si="107"/>
        <v>R</v>
      </c>
      <c r="GZ54" s="17" t="str">
        <f t="shared" si="107"/>
        <v>R</v>
      </c>
      <c r="HA54" s="17" t="str">
        <f t="shared" si="107"/>
        <v>R</v>
      </c>
      <c r="HB54" s="17" t="str">
        <f t="shared" si="107"/>
        <v>R</v>
      </c>
      <c r="HC54" s="17" t="str">
        <f t="shared" si="108"/>
        <v>R</v>
      </c>
      <c r="HD54" s="17" t="str">
        <f t="shared" si="108"/>
        <v>R</v>
      </c>
      <c r="HE54" s="17" t="str">
        <f t="shared" si="108"/>
        <v>R</v>
      </c>
      <c r="HF54" s="17" t="str">
        <f t="shared" si="108"/>
        <v>R</v>
      </c>
      <c r="HG54" s="17" t="str">
        <f t="shared" si="108"/>
        <v>R</v>
      </c>
      <c r="HH54" s="17" t="str">
        <f t="shared" si="108"/>
        <v>R</v>
      </c>
      <c r="HI54" s="17" t="str">
        <f t="shared" si="108"/>
        <v>R</v>
      </c>
      <c r="HJ54" s="17" t="str">
        <f t="shared" si="108"/>
        <v>R</v>
      </c>
      <c r="HK54" s="17" t="str">
        <f t="shared" si="108"/>
        <v>R</v>
      </c>
      <c r="HL54" s="17" t="str">
        <f t="shared" si="108"/>
        <v>R</v>
      </c>
      <c r="HM54" s="17" t="str">
        <f t="shared" si="109"/>
        <v>P</v>
      </c>
      <c r="HN54" s="17" t="str">
        <f t="shared" si="109"/>
        <v>P</v>
      </c>
      <c r="HO54" s="17" t="str">
        <f t="shared" si="109"/>
        <v>T</v>
      </c>
      <c r="HP54" s="17" t="str">
        <f t="shared" si="109"/>
        <v>T</v>
      </c>
      <c r="HQ54" s="17" t="str">
        <f t="shared" si="109"/>
        <v>T</v>
      </c>
      <c r="HR54" s="17" t="str">
        <f t="shared" si="109"/>
        <v>T</v>
      </c>
      <c r="HS54" s="17" t="str">
        <f t="shared" si="109"/>
        <v/>
      </c>
      <c r="HT54" s="17" t="str">
        <f t="shared" si="109"/>
        <v/>
      </c>
      <c r="HU54" s="17" t="str">
        <f t="shared" si="109"/>
        <v/>
      </c>
      <c r="HV54" s="17" t="str">
        <f t="shared" si="109"/>
        <v/>
      </c>
      <c r="HW54" s="17" t="str">
        <f t="shared" si="109"/>
        <v/>
      </c>
      <c r="HX54" s="17" t="str">
        <f t="shared" si="109"/>
        <v/>
      </c>
      <c r="HY54" s="17" t="str">
        <f t="shared" si="109"/>
        <v/>
      </c>
      <c r="HZ54" s="17" t="str">
        <f t="shared" si="109"/>
        <v/>
      </c>
      <c r="IA54" s="17" t="str">
        <f t="shared" si="109"/>
        <v/>
      </c>
    </row>
    <row r="55" spans="1:235" ht="25.95" customHeight="1" x14ac:dyDescent="0.3">
      <c r="A55" s="7">
        <v>50</v>
      </c>
      <c r="B55" s="7">
        <f>Premissas!$B$6</f>
        <v>6</v>
      </c>
      <c r="C55" s="7">
        <f>49*Premissas!$B$8</f>
        <v>593.93939393939399</v>
      </c>
      <c r="D55" s="7">
        <f>C55+Premissas!$B$9</f>
        <v>641.93939393939399</v>
      </c>
      <c r="E55" s="7">
        <f>C55+Premissas!$B$11</f>
        <v>647.93939393939399</v>
      </c>
      <c r="F55" s="7">
        <f>E55+Premissas!$B$8</f>
        <v>660.06060606060612</v>
      </c>
      <c r="G55" s="7">
        <f>Premissas!$B$11</f>
        <v>54</v>
      </c>
      <c r="H55" s="7">
        <f>Premissas!$B$12</f>
        <v>3</v>
      </c>
      <c r="I55" s="7" t="s">
        <v>47</v>
      </c>
      <c r="J55" s="8" t="s">
        <v>48</v>
      </c>
      <c r="K55" s="17" t="str">
        <f t="shared" si="88"/>
        <v/>
      </c>
      <c r="L55" s="17" t="str">
        <f t="shared" si="88"/>
        <v/>
      </c>
      <c r="M55" s="17" t="str">
        <f t="shared" si="88"/>
        <v/>
      </c>
      <c r="N55" s="17" t="str">
        <f t="shared" si="88"/>
        <v/>
      </c>
      <c r="O55" s="17" t="str">
        <f t="shared" si="88"/>
        <v/>
      </c>
      <c r="P55" s="17" t="str">
        <f t="shared" si="88"/>
        <v/>
      </c>
      <c r="Q55" s="17" t="str">
        <f t="shared" si="88"/>
        <v/>
      </c>
      <c r="R55" s="17" t="str">
        <f t="shared" si="88"/>
        <v/>
      </c>
      <c r="S55" s="17" t="str">
        <f t="shared" si="88"/>
        <v/>
      </c>
      <c r="T55" s="17" t="str">
        <f t="shared" si="88"/>
        <v/>
      </c>
      <c r="U55" s="17" t="str">
        <f t="shared" si="89"/>
        <v/>
      </c>
      <c r="V55" s="17" t="str">
        <f t="shared" si="89"/>
        <v/>
      </c>
      <c r="W55" s="17" t="str">
        <f t="shared" si="89"/>
        <v/>
      </c>
      <c r="X55" s="17" t="str">
        <f t="shared" si="89"/>
        <v/>
      </c>
      <c r="Y55" s="17" t="str">
        <f t="shared" si="89"/>
        <v/>
      </c>
      <c r="Z55" s="17" t="str">
        <f t="shared" si="89"/>
        <v/>
      </c>
      <c r="AA55" s="17" t="str">
        <f t="shared" si="89"/>
        <v/>
      </c>
      <c r="AB55" s="17" t="str">
        <f t="shared" si="89"/>
        <v/>
      </c>
      <c r="AC55" s="17" t="str">
        <f t="shared" si="89"/>
        <v/>
      </c>
      <c r="AD55" s="17" t="str">
        <f t="shared" si="89"/>
        <v/>
      </c>
      <c r="AE55" s="17" t="str">
        <f t="shared" si="90"/>
        <v/>
      </c>
      <c r="AF55" s="17" t="str">
        <f t="shared" si="90"/>
        <v/>
      </c>
      <c r="AG55" s="17" t="str">
        <f t="shared" si="90"/>
        <v/>
      </c>
      <c r="AH55" s="17" t="str">
        <f t="shared" si="90"/>
        <v/>
      </c>
      <c r="AI55" s="17" t="str">
        <f t="shared" si="90"/>
        <v/>
      </c>
      <c r="AJ55" s="17" t="str">
        <f t="shared" si="90"/>
        <v/>
      </c>
      <c r="AK55" s="17" t="str">
        <f t="shared" si="90"/>
        <v/>
      </c>
      <c r="AL55" s="17" t="str">
        <f t="shared" si="90"/>
        <v/>
      </c>
      <c r="AM55" s="17" t="str">
        <f t="shared" si="90"/>
        <v/>
      </c>
      <c r="AN55" s="17" t="str">
        <f t="shared" si="90"/>
        <v/>
      </c>
      <c r="AO55" s="17" t="str">
        <f t="shared" si="91"/>
        <v/>
      </c>
      <c r="AP55" s="17" t="str">
        <f t="shared" si="91"/>
        <v/>
      </c>
      <c r="AQ55" s="17" t="str">
        <f t="shared" si="91"/>
        <v/>
      </c>
      <c r="AR55" s="17" t="str">
        <f t="shared" si="91"/>
        <v/>
      </c>
      <c r="AS55" s="17" t="str">
        <f t="shared" si="91"/>
        <v/>
      </c>
      <c r="AT55" s="17" t="str">
        <f t="shared" si="91"/>
        <v/>
      </c>
      <c r="AU55" s="17" t="str">
        <f t="shared" si="91"/>
        <v/>
      </c>
      <c r="AV55" s="17" t="str">
        <f t="shared" si="91"/>
        <v/>
      </c>
      <c r="AW55" s="17" t="str">
        <f t="shared" si="91"/>
        <v/>
      </c>
      <c r="AX55" s="17" t="str">
        <f t="shared" si="91"/>
        <v/>
      </c>
      <c r="AY55" s="17" t="str">
        <f t="shared" si="92"/>
        <v/>
      </c>
      <c r="AZ55" s="17" t="str">
        <f t="shared" si="92"/>
        <v/>
      </c>
      <c r="BA55" s="17" t="str">
        <f t="shared" si="92"/>
        <v/>
      </c>
      <c r="BB55" s="17" t="str">
        <f t="shared" si="92"/>
        <v/>
      </c>
      <c r="BC55" s="17" t="str">
        <f t="shared" si="92"/>
        <v/>
      </c>
      <c r="BD55" s="17" t="str">
        <f t="shared" si="92"/>
        <v/>
      </c>
      <c r="BE55" s="17" t="str">
        <f t="shared" si="92"/>
        <v/>
      </c>
      <c r="BF55" s="17" t="str">
        <f t="shared" si="92"/>
        <v/>
      </c>
      <c r="BG55" s="17" t="str">
        <f t="shared" si="92"/>
        <v/>
      </c>
      <c r="BH55" s="17" t="str">
        <f t="shared" si="92"/>
        <v/>
      </c>
      <c r="BI55" s="17" t="str">
        <f t="shared" si="93"/>
        <v/>
      </c>
      <c r="BJ55" s="17" t="str">
        <f t="shared" si="93"/>
        <v/>
      </c>
      <c r="BK55" s="17" t="str">
        <f t="shared" si="93"/>
        <v/>
      </c>
      <c r="BL55" s="17" t="str">
        <f t="shared" si="93"/>
        <v/>
      </c>
      <c r="BM55" s="17" t="str">
        <f t="shared" si="93"/>
        <v/>
      </c>
      <c r="BN55" s="17" t="str">
        <f t="shared" si="93"/>
        <v/>
      </c>
      <c r="BO55" s="17" t="str">
        <f t="shared" si="93"/>
        <v/>
      </c>
      <c r="BP55" s="17" t="str">
        <f t="shared" si="93"/>
        <v/>
      </c>
      <c r="BQ55" s="17" t="str">
        <f t="shared" si="93"/>
        <v/>
      </c>
      <c r="BR55" s="17" t="str">
        <f t="shared" si="93"/>
        <v/>
      </c>
      <c r="BS55" s="17" t="str">
        <f t="shared" si="94"/>
        <v/>
      </c>
      <c r="BT55" s="17" t="str">
        <f t="shared" si="94"/>
        <v/>
      </c>
      <c r="BU55" s="17" t="str">
        <f t="shared" si="94"/>
        <v/>
      </c>
      <c r="BV55" s="17" t="str">
        <f t="shared" si="94"/>
        <v/>
      </c>
      <c r="BW55" s="17" t="str">
        <f t="shared" si="94"/>
        <v/>
      </c>
      <c r="BX55" s="17" t="str">
        <f t="shared" si="94"/>
        <v/>
      </c>
      <c r="BY55" s="17" t="str">
        <f t="shared" si="94"/>
        <v/>
      </c>
      <c r="BZ55" s="17" t="str">
        <f t="shared" si="94"/>
        <v/>
      </c>
      <c r="CA55" s="17" t="str">
        <f t="shared" si="94"/>
        <v/>
      </c>
      <c r="CB55" s="17" t="str">
        <f t="shared" si="94"/>
        <v/>
      </c>
      <c r="CC55" s="17" t="str">
        <f t="shared" si="95"/>
        <v/>
      </c>
      <c r="CD55" s="17" t="str">
        <f t="shared" si="95"/>
        <v/>
      </c>
      <c r="CE55" s="17" t="str">
        <f t="shared" si="95"/>
        <v/>
      </c>
      <c r="CF55" s="17" t="str">
        <f t="shared" si="95"/>
        <v/>
      </c>
      <c r="CG55" s="17" t="str">
        <f t="shared" si="95"/>
        <v/>
      </c>
      <c r="CH55" s="17" t="str">
        <f t="shared" si="95"/>
        <v/>
      </c>
      <c r="CI55" s="17" t="str">
        <f t="shared" si="95"/>
        <v/>
      </c>
      <c r="CJ55" s="17" t="str">
        <f t="shared" si="95"/>
        <v/>
      </c>
      <c r="CK55" s="17" t="str">
        <f t="shared" si="95"/>
        <v/>
      </c>
      <c r="CL55" s="17" t="str">
        <f t="shared" si="95"/>
        <v/>
      </c>
      <c r="CM55" s="17" t="str">
        <f t="shared" si="96"/>
        <v/>
      </c>
      <c r="CN55" s="17" t="str">
        <f t="shared" si="96"/>
        <v/>
      </c>
      <c r="CO55" s="17" t="str">
        <f t="shared" si="96"/>
        <v/>
      </c>
      <c r="CP55" s="17" t="str">
        <f t="shared" si="96"/>
        <v/>
      </c>
      <c r="CQ55" s="17" t="str">
        <f t="shared" si="96"/>
        <v/>
      </c>
      <c r="CR55" s="17" t="str">
        <f t="shared" si="96"/>
        <v/>
      </c>
      <c r="CS55" s="17" t="str">
        <f t="shared" si="96"/>
        <v/>
      </c>
      <c r="CT55" s="17" t="str">
        <f t="shared" si="96"/>
        <v/>
      </c>
      <c r="CU55" s="17" t="str">
        <f t="shared" si="96"/>
        <v/>
      </c>
      <c r="CV55" s="17" t="str">
        <f t="shared" si="96"/>
        <v/>
      </c>
      <c r="CW55" s="17" t="str">
        <f t="shared" si="97"/>
        <v/>
      </c>
      <c r="CX55" s="17" t="str">
        <f t="shared" si="97"/>
        <v/>
      </c>
      <c r="CY55" s="17" t="str">
        <f t="shared" si="97"/>
        <v/>
      </c>
      <c r="CZ55" s="17" t="str">
        <f t="shared" si="97"/>
        <v/>
      </c>
      <c r="DA55" s="17" t="str">
        <f t="shared" si="97"/>
        <v/>
      </c>
      <c r="DB55" s="17" t="str">
        <f t="shared" si="97"/>
        <v/>
      </c>
      <c r="DC55" s="17" t="str">
        <f t="shared" si="97"/>
        <v/>
      </c>
      <c r="DD55" s="17" t="str">
        <f t="shared" si="97"/>
        <v/>
      </c>
      <c r="DE55" s="17" t="str">
        <f t="shared" si="97"/>
        <v/>
      </c>
      <c r="DF55" s="17" t="str">
        <f t="shared" si="97"/>
        <v/>
      </c>
      <c r="DG55" s="17" t="str">
        <f t="shared" si="98"/>
        <v/>
      </c>
      <c r="DH55" s="17" t="str">
        <f t="shared" si="98"/>
        <v/>
      </c>
      <c r="DI55" s="17" t="str">
        <f t="shared" si="98"/>
        <v/>
      </c>
      <c r="DJ55" s="17" t="str">
        <f t="shared" si="98"/>
        <v/>
      </c>
      <c r="DK55" s="17" t="str">
        <f t="shared" si="98"/>
        <v/>
      </c>
      <c r="DL55" s="17" t="str">
        <f t="shared" si="98"/>
        <v/>
      </c>
      <c r="DM55" s="17" t="str">
        <f t="shared" si="98"/>
        <v/>
      </c>
      <c r="DN55" s="17" t="str">
        <f t="shared" si="98"/>
        <v/>
      </c>
      <c r="DO55" s="17" t="str">
        <f t="shared" si="98"/>
        <v/>
      </c>
      <c r="DP55" s="17" t="str">
        <f t="shared" si="98"/>
        <v/>
      </c>
      <c r="DQ55" s="17" t="str">
        <f t="shared" si="99"/>
        <v/>
      </c>
      <c r="DR55" s="17" t="str">
        <f t="shared" si="99"/>
        <v/>
      </c>
      <c r="DS55" s="17" t="str">
        <f t="shared" si="99"/>
        <v/>
      </c>
      <c r="DT55" s="17" t="str">
        <f t="shared" si="99"/>
        <v/>
      </c>
      <c r="DU55" s="17" t="str">
        <f t="shared" si="99"/>
        <v/>
      </c>
      <c r="DV55" s="17" t="str">
        <f t="shared" si="99"/>
        <v/>
      </c>
      <c r="DW55" s="17" t="str">
        <f t="shared" si="99"/>
        <v/>
      </c>
      <c r="DX55" s="17" t="str">
        <f t="shared" si="99"/>
        <v/>
      </c>
      <c r="DY55" s="17" t="str">
        <f t="shared" si="99"/>
        <v/>
      </c>
      <c r="DZ55" s="17" t="str">
        <f t="shared" si="99"/>
        <v/>
      </c>
      <c r="EA55" s="17" t="str">
        <f t="shared" si="100"/>
        <v/>
      </c>
      <c r="EB55" s="17" t="str">
        <f t="shared" si="100"/>
        <v/>
      </c>
      <c r="EC55" s="17" t="str">
        <f t="shared" si="100"/>
        <v/>
      </c>
      <c r="ED55" s="17" t="str">
        <f t="shared" si="100"/>
        <v/>
      </c>
      <c r="EE55" s="17" t="str">
        <f t="shared" si="100"/>
        <v/>
      </c>
      <c r="EF55" s="17" t="str">
        <f t="shared" si="100"/>
        <v/>
      </c>
      <c r="EG55" s="17" t="str">
        <f t="shared" si="100"/>
        <v/>
      </c>
      <c r="EH55" s="17" t="str">
        <f t="shared" si="100"/>
        <v/>
      </c>
      <c r="EI55" s="17" t="str">
        <f t="shared" si="100"/>
        <v/>
      </c>
      <c r="EJ55" s="17" t="str">
        <f t="shared" si="100"/>
        <v/>
      </c>
      <c r="EK55" s="17" t="str">
        <f t="shared" si="101"/>
        <v/>
      </c>
      <c r="EL55" s="17" t="str">
        <f t="shared" si="101"/>
        <v/>
      </c>
      <c r="EM55" s="17" t="str">
        <f t="shared" si="101"/>
        <v/>
      </c>
      <c r="EN55" s="17" t="str">
        <f t="shared" si="101"/>
        <v/>
      </c>
      <c r="EO55" s="17" t="str">
        <f t="shared" si="101"/>
        <v/>
      </c>
      <c r="EP55" s="17" t="str">
        <f t="shared" si="101"/>
        <v/>
      </c>
      <c r="EQ55" s="17" t="str">
        <f t="shared" si="101"/>
        <v/>
      </c>
      <c r="ER55" s="17" t="str">
        <f t="shared" si="101"/>
        <v/>
      </c>
      <c r="ES55" s="17" t="str">
        <f t="shared" si="101"/>
        <v/>
      </c>
      <c r="ET55" s="17" t="str">
        <f t="shared" si="101"/>
        <v/>
      </c>
      <c r="EU55" s="17" t="str">
        <f t="shared" si="102"/>
        <v/>
      </c>
      <c r="EV55" s="17" t="str">
        <f t="shared" si="102"/>
        <v/>
      </c>
      <c r="EW55" s="17" t="str">
        <f t="shared" si="102"/>
        <v/>
      </c>
      <c r="EX55" s="17" t="str">
        <f t="shared" si="102"/>
        <v/>
      </c>
      <c r="EY55" s="17" t="str">
        <f t="shared" si="102"/>
        <v/>
      </c>
      <c r="EZ55" s="17" t="str">
        <f t="shared" si="102"/>
        <v/>
      </c>
      <c r="FA55" s="17" t="str">
        <f t="shared" si="102"/>
        <v/>
      </c>
      <c r="FB55" s="17" t="str">
        <f t="shared" si="102"/>
        <v/>
      </c>
      <c r="FC55" s="17" t="str">
        <f t="shared" si="102"/>
        <v/>
      </c>
      <c r="FD55" s="17" t="str">
        <f t="shared" si="102"/>
        <v/>
      </c>
      <c r="FE55" s="17" t="str">
        <f t="shared" si="103"/>
        <v/>
      </c>
      <c r="FF55" s="17" t="str">
        <f t="shared" si="103"/>
        <v/>
      </c>
      <c r="FG55" s="17" t="str">
        <f t="shared" si="103"/>
        <v/>
      </c>
      <c r="FH55" s="17" t="str">
        <f t="shared" si="103"/>
        <v/>
      </c>
      <c r="FI55" s="17" t="str">
        <f t="shared" si="103"/>
        <v/>
      </c>
      <c r="FJ55" s="17" t="str">
        <f t="shared" si="103"/>
        <v/>
      </c>
      <c r="FK55" s="17" t="str">
        <f t="shared" si="103"/>
        <v/>
      </c>
      <c r="FL55" s="17" t="str">
        <f t="shared" si="103"/>
        <v/>
      </c>
      <c r="FM55" s="17" t="str">
        <f t="shared" si="103"/>
        <v/>
      </c>
      <c r="FN55" s="17" t="str">
        <f t="shared" si="103"/>
        <v/>
      </c>
      <c r="FO55" s="17" t="str">
        <f t="shared" si="104"/>
        <v/>
      </c>
      <c r="FP55" s="17" t="str">
        <f t="shared" si="104"/>
        <v/>
      </c>
      <c r="FQ55" s="17" t="str">
        <f t="shared" si="104"/>
        <v/>
      </c>
      <c r="FR55" s="17" t="str">
        <f t="shared" si="104"/>
        <v/>
      </c>
      <c r="FS55" s="17" t="str">
        <f t="shared" si="104"/>
        <v/>
      </c>
      <c r="FT55" s="17" t="str">
        <f t="shared" si="104"/>
        <v/>
      </c>
      <c r="FU55" s="17" t="str">
        <f t="shared" si="104"/>
        <v/>
      </c>
      <c r="FV55" s="17" t="str">
        <f t="shared" si="104"/>
        <v/>
      </c>
      <c r="FW55" s="17" t="str">
        <f t="shared" si="104"/>
        <v/>
      </c>
      <c r="FX55" s="17" t="str">
        <f t="shared" si="104"/>
        <v/>
      </c>
      <c r="FY55" s="17" t="str">
        <f t="shared" si="105"/>
        <v/>
      </c>
      <c r="FZ55" s="17" t="str">
        <f t="shared" si="105"/>
        <v/>
      </c>
      <c r="GA55" s="17" t="str">
        <f t="shared" si="105"/>
        <v/>
      </c>
      <c r="GB55" s="17" t="str">
        <f t="shared" si="105"/>
        <v/>
      </c>
      <c r="GC55" s="17" t="str">
        <f t="shared" si="105"/>
        <v/>
      </c>
      <c r="GD55" s="17" t="str">
        <f t="shared" si="105"/>
        <v/>
      </c>
      <c r="GE55" s="17" t="str">
        <f t="shared" si="105"/>
        <v/>
      </c>
      <c r="GF55" s="17" t="str">
        <f t="shared" si="105"/>
        <v/>
      </c>
      <c r="GG55" s="17" t="str">
        <f t="shared" si="105"/>
        <v/>
      </c>
      <c r="GH55" s="17" t="str">
        <f t="shared" si="105"/>
        <v/>
      </c>
      <c r="GI55" s="17" t="str">
        <f t="shared" si="106"/>
        <v/>
      </c>
      <c r="GJ55" s="17" t="str">
        <f t="shared" si="106"/>
        <v/>
      </c>
      <c r="GK55" s="17" t="str">
        <f t="shared" si="106"/>
        <v/>
      </c>
      <c r="GL55" s="17" t="str">
        <f t="shared" si="106"/>
        <v/>
      </c>
      <c r="GM55" s="17" t="str">
        <f t="shared" si="106"/>
        <v/>
      </c>
      <c r="GN55" s="17" t="str">
        <f t="shared" si="106"/>
        <v/>
      </c>
      <c r="GO55" s="17" t="str">
        <f t="shared" si="106"/>
        <v/>
      </c>
      <c r="GP55" s="17" t="str">
        <f t="shared" si="106"/>
        <v/>
      </c>
      <c r="GQ55" s="17" t="str">
        <f t="shared" si="106"/>
        <v/>
      </c>
      <c r="GR55" s="17" t="str">
        <f t="shared" si="106"/>
        <v/>
      </c>
      <c r="GS55" s="17" t="str">
        <f t="shared" si="107"/>
        <v/>
      </c>
      <c r="GT55" s="17" t="str">
        <f t="shared" si="107"/>
        <v/>
      </c>
      <c r="GU55" s="17" t="str">
        <f t="shared" si="107"/>
        <v/>
      </c>
      <c r="GV55" s="17" t="str">
        <f t="shared" si="107"/>
        <v/>
      </c>
      <c r="GW55" s="17" t="str">
        <f t="shared" si="107"/>
        <v/>
      </c>
      <c r="GX55" s="17" t="str">
        <f t="shared" si="107"/>
        <v/>
      </c>
      <c r="GY55" s="17" t="str">
        <f t="shared" si="107"/>
        <v/>
      </c>
      <c r="GZ55" s="17" t="str">
        <f t="shared" si="107"/>
        <v/>
      </c>
      <c r="HA55" s="17" t="str">
        <f t="shared" si="107"/>
        <v>R</v>
      </c>
      <c r="HB55" s="17" t="str">
        <f t="shared" si="107"/>
        <v>R</v>
      </c>
      <c r="HC55" s="17" t="str">
        <f t="shared" si="108"/>
        <v>R</v>
      </c>
      <c r="HD55" s="17" t="str">
        <f t="shared" si="108"/>
        <v>R</v>
      </c>
      <c r="HE55" s="17" t="str">
        <f t="shared" si="108"/>
        <v>R</v>
      </c>
      <c r="HF55" s="17" t="str">
        <f t="shared" si="108"/>
        <v>R</v>
      </c>
      <c r="HG55" s="17" t="str">
        <f t="shared" si="108"/>
        <v>R</v>
      </c>
      <c r="HH55" s="17" t="str">
        <f t="shared" si="108"/>
        <v>R</v>
      </c>
      <c r="HI55" s="17" t="str">
        <f t="shared" si="108"/>
        <v>R</v>
      </c>
      <c r="HJ55" s="17" t="str">
        <f t="shared" si="108"/>
        <v>R</v>
      </c>
      <c r="HK55" s="17" t="str">
        <f t="shared" si="108"/>
        <v>R</v>
      </c>
      <c r="HL55" s="17" t="str">
        <f t="shared" si="108"/>
        <v>R</v>
      </c>
      <c r="HM55" s="17" t="str">
        <f t="shared" si="109"/>
        <v>R</v>
      </c>
      <c r="HN55" s="17" t="str">
        <f t="shared" si="109"/>
        <v>R</v>
      </c>
      <c r="HO55" s="17" t="str">
        <f t="shared" si="109"/>
        <v>R</v>
      </c>
      <c r="HP55" s="17" t="str">
        <f t="shared" si="109"/>
        <v>R</v>
      </c>
      <c r="HQ55" s="17" t="str">
        <f t="shared" si="109"/>
        <v>P</v>
      </c>
      <c r="HR55" s="17" t="str">
        <f t="shared" si="109"/>
        <v>P</v>
      </c>
      <c r="HS55" s="17" t="str">
        <f t="shared" si="109"/>
        <v>T</v>
      </c>
      <c r="HT55" s="17" t="str">
        <f t="shared" si="109"/>
        <v>T</v>
      </c>
      <c r="HU55" s="17" t="str">
        <f t="shared" si="109"/>
        <v>T</v>
      </c>
      <c r="HV55" s="17" t="str">
        <f t="shared" si="109"/>
        <v>T</v>
      </c>
      <c r="HW55" s="17" t="str">
        <f t="shared" si="109"/>
        <v>T</v>
      </c>
      <c r="HX55" s="17" t="str">
        <f t="shared" si="109"/>
        <v/>
      </c>
      <c r="HY55" s="17" t="str">
        <f t="shared" si="109"/>
        <v/>
      </c>
      <c r="HZ55" s="17" t="str">
        <f t="shared" si="109"/>
        <v/>
      </c>
      <c r="IA55" s="17" t="str">
        <f t="shared" si="109"/>
        <v/>
      </c>
    </row>
    <row r="58" spans="1:235" x14ac:dyDescent="0.3">
      <c r="A58" s="21" t="s">
        <v>49</v>
      </c>
      <c r="B58" s="19"/>
      <c r="C58" s="19"/>
      <c r="D58" s="19"/>
      <c r="E58" s="19"/>
      <c r="F58" s="19"/>
      <c r="G58" s="19"/>
      <c r="H58" s="19"/>
      <c r="I58" s="19"/>
      <c r="J58" s="19"/>
    </row>
    <row r="59" spans="1:235" x14ac:dyDescent="0.3">
      <c r="A59" s="9" t="s">
        <v>50</v>
      </c>
      <c r="B59" s="10">
        <f>Premissas!B5*Premissas!B6</f>
        <v>300</v>
      </c>
      <c r="C59" s="11" t="s">
        <v>10</v>
      </c>
    </row>
    <row r="60" spans="1:235" x14ac:dyDescent="0.3">
      <c r="A60" s="9" t="s">
        <v>51</v>
      </c>
      <c r="B60" s="10">
        <f>Premissas!B11</f>
        <v>54</v>
      </c>
      <c r="C60" s="11" t="s">
        <v>52</v>
      </c>
    </row>
    <row r="61" spans="1:235" x14ac:dyDescent="0.3">
      <c r="A61" s="9" t="s">
        <v>53</v>
      </c>
      <c r="B61" s="10">
        <f>F55</f>
        <v>660.06060606060612</v>
      </c>
      <c r="C61" s="11" t="s">
        <v>52</v>
      </c>
    </row>
    <row r="62" spans="1:235" x14ac:dyDescent="0.3">
      <c r="A62" s="9" t="s">
        <v>54</v>
      </c>
      <c r="B62" s="10">
        <f>F55</f>
        <v>660.06060606060612</v>
      </c>
      <c r="C62" s="11" t="s">
        <v>16</v>
      </c>
    </row>
    <row r="63" spans="1:235" x14ac:dyDescent="0.3">
      <c r="A63" s="9" t="s">
        <v>55</v>
      </c>
      <c r="B63" s="10">
        <f>F55/24</f>
        <v>27.502525252525256</v>
      </c>
      <c r="C63" s="11" t="s">
        <v>25</v>
      </c>
    </row>
    <row r="64" spans="1:235" x14ac:dyDescent="0.3">
      <c r="A64" s="9" t="s">
        <v>56</v>
      </c>
      <c r="B64" s="10">
        <f>ROUNDUP(Premissas!B11/Premissas!B8,0)</f>
        <v>5</v>
      </c>
      <c r="C64" s="11" t="s">
        <v>7</v>
      </c>
    </row>
  </sheetData>
  <autoFilter ref="A5:J55" xr:uid="{00000000-0009-0000-0000-000001000000}"/>
  <mergeCells count="3">
    <mergeCell ref="A2:K2"/>
    <mergeCell ref="A1:K1"/>
    <mergeCell ref="A58:J58"/>
  </mergeCells>
  <conditionalFormatting sqref="K6:IA55">
    <cfRule type="expression" dxfId="2" priority="1">
      <formula>K6="R"</formula>
    </cfRule>
    <cfRule type="expression" dxfId="1" priority="2">
      <formula>K6="P"</formula>
    </cfRule>
    <cfRule type="expression" dxfId="0" priority="3">
      <formula>K6="T"</formula>
    </cfRule>
  </conditionalFormatting>
  <pageMargins left="0.75" right="0.75" top="1" bottom="1" header="0.5" footer="0.5"/>
  <pageSetup fitToHeight="0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showGridLines="0" workbookViewId="0">
      <selection sqref="A1:D1"/>
    </sheetView>
  </sheetViews>
  <sheetFormatPr defaultRowHeight="14.4" x14ac:dyDescent="0.3"/>
  <cols>
    <col min="1" max="1" width="31" customWidth="1"/>
    <col min="2" max="2" width="44" customWidth="1"/>
    <col min="3" max="4" width="28" customWidth="1"/>
  </cols>
  <sheetData>
    <row r="1" spans="1:4" ht="23.4" x14ac:dyDescent="0.3">
      <c r="A1" s="20" t="s">
        <v>57</v>
      </c>
      <c r="B1" s="19"/>
      <c r="C1" s="19"/>
      <c r="D1" s="19"/>
    </row>
    <row r="4" spans="1:4" ht="49.95" customHeight="1" x14ac:dyDescent="0.3">
      <c r="A4" s="12" t="s">
        <v>58</v>
      </c>
      <c r="B4" s="23" t="s">
        <v>59</v>
      </c>
      <c r="C4" s="24"/>
      <c r="D4" s="25"/>
    </row>
    <row r="5" spans="1:4" ht="49.95" customHeight="1" x14ac:dyDescent="0.3">
      <c r="A5" s="13" t="s">
        <v>60</v>
      </c>
      <c r="B5" s="23" t="s">
        <v>61</v>
      </c>
      <c r="C5" s="24"/>
      <c r="D5" s="25"/>
    </row>
    <row r="6" spans="1:4" ht="49.95" customHeight="1" x14ac:dyDescent="0.3">
      <c r="A6" s="14" t="s">
        <v>62</v>
      </c>
      <c r="B6" s="23" t="s">
        <v>63</v>
      </c>
      <c r="C6" s="24"/>
      <c r="D6" s="25"/>
    </row>
    <row r="7" spans="1:4" ht="49.95" customHeight="1" x14ac:dyDescent="0.3">
      <c r="A7" s="1" t="s">
        <v>22</v>
      </c>
      <c r="B7" s="23" t="s">
        <v>64</v>
      </c>
      <c r="C7" s="24"/>
      <c r="D7" s="25"/>
    </row>
    <row r="8" spans="1:4" ht="49.95" customHeight="1" x14ac:dyDescent="0.3">
      <c r="A8" s="15" t="s">
        <v>44</v>
      </c>
      <c r="B8" s="23" t="s">
        <v>65</v>
      </c>
      <c r="C8" s="24"/>
      <c r="D8" s="25"/>
    </row>
    <row r="9" spans="1:4" ht="49.95" customHeight="1" x14ac:dyDescent="0.3">
      <c r="A9" s="16" t="s">
        <v>66</v>
      </c>
      <c r="B9" s="23" t="s">
        <v>67</v>
      </c>
      <c r="C9" s="24"/>
      <c r="D9" s="25"/>
    </row>
    <row r="12" spans="1:4" x14ac:dyDescent="0.3">
      <c r="A12" s="26" t="s">
        <v>68</v>
      </c>
      <c r="B12" s="19"/>
      <c r="C12" s="19"/>
      <c r="D12" s="19"/>
    </row>
    <row r="13" spans="1:4" x14ac:dyDescent="0.3">
      <c r="A13" s="18" t="s">
        <v>69</v>
      </c>
      <c r="B13" s="19"/>
      <c r="C13" s="19"/>
      <c r="D13" s="19"/>
    </row>
    <row r="14" spans="1:4" x14ac:dyDescent="0.3">
      <c r="A14" s="19"/>
      <c r="B14" s="19"/>
      <c r="C14" s="19"/>
      <c r="D14" s="19"/>
    </row>
    <row r="15" spans="1:4" x14ac:dyDescent="0.3">
      <c r="A15" s="19"/>
      <c r="B15" s="19"/>
      <c r="C15" s="19"/>
      <c r="D15" s="19"/>
    </row>
    <row r="16" spans="1:4" x14ac:dyDescent="0.3">
      <c r="A16" s="19"/>
      <c r="B16" s="19"/>
      <c r="C16" s="19"/>
      <c r="D16" s="19"/>
    </row>
    <row r="17" spans="1:4" x14ac:dyDescent="0.3">
      <c r="A17" s="19"/>
      <c r="B17" s="19"/>
      <c r="C17" s="19"/>
      <c r="D17" s="19"/>
    </row>
    <row r="18" spans="1:4" x14ac:dyDescent="0.3">
      <c r="A18" s="19"/>
      <c r="B18" s="19"/>
      <c r="C18" s="19"/>
      <c r="D18" s="19"/>
    </row>
  </sheetData>
  <mergeCells count="9">
    <mergeCell ref="A1:D1"/>
    <mergeCell ref="B5:D5"/>
    <mergeCell ref="A12:D12"/>
    <mergeCell ref="A13:D18"/>
    <mergeCell ref="B8:D8"/>
    <mergeCell ref="B4:D4"/>
    <mergeCell ref="B9:D9"/>
    <mergeCell ref="B7:D7"/>
    <mergeCell ref="B6:D6"/>
  </mergeCells>
  <pageMargins left="0.75" right="0.75" top="1" bottom="1" header="0.5" footer="0.5"/>
  <pageSetup fitToHeight="0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Premissas</vt:lpstr>
      <vt:lpstr>Cronograma - 50 waves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Nicoli</cp:lastModifiedBy>
  <dcterms:created xsi:type="dcterms:W3CDTF">2026-08-20T12:30:45Z</dcterms:created>
  <dcterms:modified xsi:type="dcterms:W3CDTF">2026-08-20T14:42:08Z</dcterms:modified>
</cp:coreProperties>
</file>